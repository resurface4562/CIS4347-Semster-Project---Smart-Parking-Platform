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a9c7c63b8d3e1e1c/School/4 - Info Sys Proj Mgmt/"/>
    </mc:Choice>
  </mc:AlternateContent>
  <xr:revisionPtr revIDLastSave="550" documentId="11_F25DC773A252ABDACC1048EEF9187A645BDE58F3" xr6:coauthVersionLast="47" xr6:coauthVersionMax="47" xr10:uidLastSave="{B92A787A-7CC4-40B5-AE8A-9C7671AA5BD8}"/>
  <bookViews>
    <workbookView xWindow="-120" yWindow="-120" windowWidth="38640" windowHeight="21120" activeTab="4" xr2:uid="{00000000-000D-0000-FFFF-FFFF00000000}"/>
  </bookViews>
  <sheets>
    <sheet name="Roles &amp; Resources" sheetId="1" r:id="rId1"/>
    <sheet name="Resource Plan" sheetId="2" r:id="rId2"/>
    <sheet name="Resource &amp; Cost Plan" sheetId="3" r:id="rId3"/>
    <sheet name="Monthly Budgeted Cash Flow" sheetId="4" r:id="rId4"/>
    <sheet name="RACI Matrix"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 r="D7" i="4"/>
  <c r="C7" i="4"/>
  <c r="B7" i="4"/>
  <c r="F3" i="4"/>
  <c r="F4" i="4"/>
  <c r="F5" i="4"/>
  <c r="F6" i="4"/>
  <c r="F2" i="4"/>
  <c r="E3" i="4"/>
  <c r="E4" i="4"/>
  <c r="E5" i="4"/>
  <c r="E6" i="4"/>
  <c r="E2" i="4"/>
  <c r="G10" i="2"/>
  <c r="E10" i="2"/>
  <c r="E3" i="2"/>
  <c r="E4" i="2"/>
  <c r="E5" i="2"/>
  <c r="G5" i="2" s="1"/>
  <c r="E6" i="2"/>
  <c r="G6" i="2" s="1"/>
  <c r="E7" i="2"/>
  <c r="G7" i="2" s="1"/>
  <c r="E8" i="2"/>
  <c r="E9" i="2"/>
  <c r="E2" i="2"/>
  <c r="G3" i="2"/>
  <c r="G4" i="2"/>
  <c r="G8" i="2"/>
  <c r="G9" i="2"/>
  <c r="G2" i="2"/>
</calcChain>
</file>

<file path=xl/sharedStrings.xml><?xml version="1.0" encoding="utf-8"?>
<sst xmlns="http://schemas.openxmlformats.org/spreadsheetml/2006/main" count="255" uniqueCount="107">
  <si>
    <t>Role</t>
  </si>
  <si>
    <t>Name</t>
  </si>
  <si>
    <t>Skill Level</t>
  </si>
  <si>
    <t>Allocation %</t>
  </si>
  <si>
    <t>Project Manager</t>
  </si>
  <si>
    <t>Technical Lead / Backend Developer</t>
  </si>
  <si>
    <t>Frontend / Web Developer</t>
  </si>
  <si>
    <t>Mobile Developer</t>
  </si>
  <si>
    <t>UI/UX Designer</t>
  </si>
  <si>
    <t>Integration Developer</t>
  </si>
  <si>
    <t>QA Tester</t>
  </si>
  <si>
    <t>DevOps / Database Engineer</t>
  </si>
  <si>
    <t>Alex Rivera</t>
  </si>
  <si>
    <t>Charles Byrne</t>
  </si>
  <si>
    <t>Taylor Pearce</t>
  </si>
  <si>
    <t>Ayden Moss</t>
  </si>
  <si>
    <t>Lexi Harper</t>
  </si>
  <si>
    <t>Brittany Nguyen</t>
  </si>
  <si>
    <t>Paige Hoffman</t>
  </si>
  <si>
    <t>William Cooke</t>
  </si>
  <si>
    <t>Senior</t>
  </si>
  <si>
    <t>Mid-level</t>
  </si>
  <si>
    <t>The project team consists of eight fictional members assigned based on the technical and management requirements of the Smart Parking Platform. Each member has an assumed skill level and resource allocation reflecting their responsibilities. Development roles receive higher allocations during implementation, while design, testing, and infrastructure roles are assigned according to their expected workloads. This structure supports the project's specialized functional areas while allowing resources to be shared.</t>
  </si>
  <si>
    <t>Active Months</t>
  </si>
  <si>
    <t>Estimated Hours</t>
  </si>
  <si>
    <t>Hourly Rate</t>
  </si>
  <si>
    <t>Cost</t>
  </si>
  <si>
    <t>FTE %</t>
  </si>
  <si>
    <t>The resource plan estimates labor costs using a bottom-up approach based on each team member's allocation, active months, and assumed hourly rate. Resource commitments vary according to project responsibilities, with development personnel concentrated during implementation and specialized roles supporting design, integration, testing, and deployment. The estimated total labor requirement is 1,912 hours, resulting in a projected labor cost of $112,080. These estimates provide the foundation for the overall project cost plan and may be adjusted as scheduling and resource requirements are refined.</t>
  </si>
  <si>
    <t>Item</t>
  </si>
  <si>
    <t>Category</t>
  </si>
  <si>
    <t>Qty / Months</t>
  </si>
  <si>
    <t>Unit Cost</t>
  </si>
  <si>
    <t>Duration</t>
  </si>
  <si>
    <t>Total</t>
  </si>
  <si>
    <t>Labor (from Resource Plan)</t>
  </si>
  <si>
    <t>Cloud Hosting &amp; Database</t>
  </si>
  <si>
    <t>Mapping &amp; Navigation APIs</t>
  </si>
  <si>
    <t>Payment Processing / Testing</t>
  </si>
  <si>
    <t>Design Tools</t>
  </si>
  <si>
    <t>Project Management Tools</t>
  </si>
  <si>
    <t>Deployment &amp; Launch</t>
  </si>
  <si>
    <t>Subtotal</t>
  </si>
  <si>
    <t>Contingency (10%)</t>
  </si>
  <si>
    <t>Grand Total</t>
  </si>
  <si>
    <t>Personnel</t>
  </si>
  <si>
    <t>Infrastructure</t>
  </si>
  <si>
    <t>Services</t>
  </si>
  <si>
    <t>Software</t>
  </si>
  <si>
    <t>Testing &amp; Development Tools</t>
  </si>
  <si>
    <t>Operations</t>
  </si>
  <si>
    <t>1,1912 hours</t>
  </si>
  <si>
    <t>4 months</t>
  </si>
  <si>
    <t>3 months</t>
  </si>
  <si>
    <t>2 months</t>
  </si>
  <si>
    <t>One-time</t>
  </si>
  <si>
    <t>Varies</t>
  </si>
  <si>
    <t>$300/mo</t>
  </si>
  <si>
    <t>$200/mo</t>
  </si>
  <si>
    <t>$150/mo</t>
  </si>
  <si>
    <t>$75/mo</t>
  </si>
  <si>
    <t>$100/mo</t>
  </si>
  <si>
    <t>$50/mo</t>
  </si>
  <si>
    <t>—</t>
  </si>
  <si>
    <t>Reserve</t>
  </si>
  <si>
    <t>The Smart Parking Platform cost plan uses a bottom-up estimation approach, combining projected labor expenses with infrastructure, third-party services, software tools, and deployment costs. Labor represents the largest portion of the budget at $112,080, based on the previously established resource plan. A 10% contingency reserve is included to account for unforeseen expenses and project risks. The total estimated project budget is $127,413. Although the project assumes an unrestricted theoretical budget, cost planning remains important for resource efficiency, financial visibility, and project management.</t>
  </si>
  <si>
    <t>Month</t>
  </si>
  <si>
    <t>Planned Labor</t>
  </si>
  <si>
    <t>Planned Non-Labor</t>
  </si>
  <si>
    <t>Contingency Reserve</t>
  </si>
  <si>
    <t>Total Budget</t>
  </si>
  <si>
    <t>Cumulative Budget</t>
  </si>
  <si>
    <t>September</t>
  </si>
  <si>
    <t>October</t>
  </si>
  <si>
    <t>November</t>
  </si>
  <si>
    <t>December</t>
  </si>
  <si>
    <t>Unallocated Reserve</t>
  </si>
  <si>
    <t>The monthly cash flow forecast distributes planned project expenditures across the September–December 2026 development schedule. Spending is expected to increase during October and November as development, integration, and testing activities overlap. December reflects reduced staffing requirements as the project transitions toward deployment and closure. A separate contingency reserve is maintained for unforeseen costs. The forecast will be revised as resource assignments and project scheduling become more detailed.</t>
  </si>
  <si>
    <t>Task / Deliverable</t>
  </si>
  <si>
    <t>PM</t>
  </si>
  <si>
    <t>TL</t>
  </si>
  <si>
    <t>WEB</t>
  </si>
  <si>
    <t>MOB</t>
  </si>
  <si>
    <t>UX</t>
  </si>
  <si>
    <t>INT</t>
  </si>
  <si>
    <t>QA</t>
  </si>
  <si>
    <t>OPS</t>
  </si>
  <si>
    <t>Role Abbreviation</t>
  </si>
  <si>
    <t>Team Member</t>
  </si>
  <si>
    <t>Requirements Gathering</t>
  </si>
  <si>
    <t>System Architecture</t>
  </si>
  <si>
    <t>UI/UX Design</t>
  </si>
  <si>
    <t>User Authentication Development</t>
  </si>
  <si>
    <t>Parking &amp; Garage Development</t>
  </si>
  <si>
    <t>Reservation &amp; Navigation Development</t>
  </si>
  <si>
    <t>Payment &amp; Billing Development</t>
  </si>
  <si>
    <t>Operator Dashboard &amp; Reporting</t>
  </si>
  <si>
    <t>Integration Testing</t>
  </si>
  <si>
    <t>System &amp; Acceptance Testing</t>
  </si>
  <si>
    <t>Production Deployment</t>
  </si>
  <si>
    <t>Project Closure &amp; Approval</t>
  </si>
  <si>
    <t>A/R</t>
  </si>
  <si>
    <t>C</t>
  </si>
  <si>
    <t>I</t>
  </si>
  <si>
    <t>R</t>
  </si>
  <si>
    <t>A</t>
  </si>
  <si>
    <t>The RACI matrix establishes clear responsibilities and accountability across the Smart Parking Platform's major project activities. Each deliverable has one accountable team member, while responsibility for execution is distributed according to individual technical expertise. Development activities involve collaboration between backend, web, mobile, and integration personnel, while quality assurance and deployment have designated ownership. This structure supports effective coordination, reduces confusion over responsibilities, and aligns team assignments with the project's resource and communication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</si>
</sst>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5" formatCode="_(* #,##0_);_(* \(#,##0\);_(* &quot;-&quot;??_);_(@_)"/>
    <numFmt numFmtId="167"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1">
    <xf numFmtId="0" fontId="0" fillId="0" borderId="0" xfId="0"/>
    <xf numFmtId="9" fontId="0" fillId="0" borderId="0" xfId="0" applyNumberFormat="1"/>
    <xf numFmtId="0" fontId="0" fillId="0" borderId="0" xfId="0" applyAlignment="1">
      <alignment wrapText="1"/>
    </xf>
    <xf numFmtId="6" fontId="0" fillId="0" borderId="0" xfId="0" applyNumberFormat="1"/>
    <xf numFmtId="0" fontId="2" fillId="0" borderId="0" xfId="0" applyFont="1"/>
    <xf numFmtId="165" fontId="2" fillId="0" borderId="0" xfId="1" applyNumberFormat="1" applyFont="1"/>
    <xf numFmtId="167" fontId="2" fillId="0" borderId="0" xfId="2" applyNumberFormat="1" applyFont="1"/>
    <xf numFmtId="6" fontId="0" fillId="0" borderId="0" xfId="0" applyNumberFormat="1" applyAlignment="1">
      <alignment horizontal="left"/>
    </xf>
    <xf numFmtId="0" fontId="0" fillId="0" borderId="0" xfId="0" applyAlignment="1"/>
    <xf numFmtId="9" fontId="0" fillId="0" borderId="0" xfId="0" applyNumberFormat="1" applyAlignment="1">
      <alignment horizontal="left"/>
    </xf>
    <xf numFmtId="6" fontId="2" fillId="0" borderId="0" xfId="0" applyNumberFormat="1" applyFont="1"/>
  </cellXfs>
  <cellStyles count="3">
    <cellStyle name="Comma" xfId="1" builtinId="3"/>
    <cellStyle name="Currency" xfId="2" builtinId="4"/>
    <cellStyle name="Normal" xfId="0" builtinId="0"/>
  </cellStyles>
  <dxfs count="10">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38CB31-C9FB-4D58-8385-3AD410AD8CB8}" name="Table1" displayName="Table1" ref="A1:D9" totalsRowShown="0">
  <autoFilter ref="A1:D9" xr:uid="{D938CB31-C9FB-4D58-8385-3AD410AD8CB8}"/>
  <tableColumns count="4">
    <tableColumn id="1" xr3:uid="{C516ED6E-B544-4B30-80C4-8DAD7CE49AC7}" name="Role"/>
    <tableColumn id="2" xr3:uid="{45C85CE9-C9A2-4A97-B197-651EEE8CB185}" name="Name"/>
    <tableColumn id="3" xr3:uid="{CE76FF29-22C8-4516-B307-A772905AF4DC}" name="Skill Level"/>
    <tableColumn id="4" xr3:uid="{6E9E6DBC-DDB5-4D89-92FF-58AEC1119BD0}" name="Allocation %"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EBFA87-1A20-426C-9C2F-335605CA769B}" name="Table2" displayName="Table2" ref="A1:G10" totalsRowShown="0">
  <autoFilter ref="A1:G10" xr:uid="{A1EBFA87-1A20-426C-9C2F-335605CA769B}"/>
  <tableColumns count="7">
    <tableColumn id="1" xr3:uid="{8EF702D1-ED9E-49E7-820C-351018236355}" name="Role"/>
    <tableColumn id="2" xr3:uid="{05FBA5C4-51F7-4C32-B01C-27EA49EBCAC5}" name="Name"/>
    <tableColumn id="3" xr3:uid="{78D8080E-F234-4688-9969-29B901A70D96}" name="FTE %" dataDxfId="8"/>
    <tableColumn id="4" xr3:uid="{1EF63BBC-6ABE-4FC6-8B4E-3D0669D832CE}" name="Active Months"/>
    <tableColumn id="5" xr3:uid="{0AD8CA5A-F7F1-480C-973A-E83AD4073D06}" name="Estimated Hours"/>
    <tableColumn id="6" xr3:uid="{F7A484DB-18D2-467F-A88E-FE32B8B6B91A}" name="Hourly Rate" dataDxfId="7"/>
    <tableColumn id="7" xr3:uid="{904B8D1B-6ACF-4CAE-9274-E87E20275BCA}" name="Cost"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8EC406-D340-4D59-845B-4F16ED8D9C56}" name="Table3" displayName="Table3" ref="A1:F12" totalsRowShown="0">
  <autoFilter ref="A1:F12" xr:uid="{E98EC406-D340-4D59-845B-4F16ED8D9C56}"/>
  <tableColumns count="6">
    <tableColumn id="1" xr3:uid="{7AAABCCD-D02A-421B-AAC5-FA6D9F06F206}" name="Item"/>
    <tableColumn id="2" xr3:uid="{38A69F3A-DE86-498A-8B6B-0E2A36A32B61}" name="Category"/>
    <tableColumn id="3" xr3:uid="{76C20224-E494-4471-A062-9BBE5C35AF0B}" name="Qty / Months"/>
    <tableColumn id="4" xr3:uid="{206D228E-0A36-4747-BA84-A3F93638FCC9}" name="Unit Cost"/>
    <tableColumn id="5" xr3:uid="{1C53CEB3-CF0D-4423-9BF5-82D4AB5A21B3}" name="Duration"/>
    <tableColumn id="6" xr3:uid="{4104E7D3-3E34-49A8-B8A3-6DACA1F5AA72}" name="Total" dataDxfId="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C65484-2A6E-4A35-BAD5-DE4B8CE9DD7D}" name="Table4" displayName="Table4" ref="A1:F7" totalsRowShown="0">
  <autoFilter ref="A1:F7" xr:uid="{57C65484-2A6E-4A35-BAD5-DE4B8CE9DD7D}"/>
  <tableColumns count="6">
    <tableColumn id="1" xr3:uid="{6907FB21-04A7-40D4-95A9-332443194EE0}" name="Month"/>
    <tableColumn id="2" xr3:uid="{3FED5E25-B6CE-43F6-B23A-939B4DBFED72}" name="Planned Labor" dataDxfId="4"/>
    <tableColumn id="3" xr3:uid="{C7C2D9AC-CA09-47FB-9B81-1D715EF37427}" name="Planned Non-Labor" dataDxfId="3"/>
    <tableColumn id="4" xr3:uid="{04D2F0DF-0851-49A0-AEBE-1912ACD32C2C}" name="Contingency Reserve" dataDxfId="2"/>
    <tableColumn id="5" xr3:uid="{48F1909E-13E6-48FD-8D47-153C9018910D}" name="Total Budget" dataDxfId="1"/>
    <tableColumn id="6" xr3:uid="{30648C0E-9875-4D54-817C-FEDD1EDE0550}" name="Cumulative Budget" dataDxfId="0"/>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830ACF-3D6B-45E3-B1E8-0CA78C48C69A}" name="Table5" displayName="Table5" ref="A1:I13" totalsRowShown="0">
  <autoFilter ref="A1:I13" xr:uid="{70830ACF-3D6B-45E3-B1E8-0CA78C48C69A}"/>
  <tableColumns count="9">
    <tableColumn id="1" xr3:uid="{F072BE14-8927-4B82-8FDE-01908D61060A}" name="Task / Deliverable"/>
    <tableColumn id="2" xr3:uid="{264C9E40-1804-4B47-8265-58F5586D7D0C}" name="PM"/>
    <tableColumn id="3" xr3:uid="{B1020DEA-D7B0-4FB1-B20D-5693FC8BE588}" name="TL"/>
    <tableColumn id="4" xr3:uid="{65A07BF6-8133-4A62-8DD1-06E5F9524CC7}" name="WEB"/>
    <tableColumn id="5" xr3:uid="{026AA431-50CC-4DD3-B1DB-40FCA4E14C2D}" name="MOB"/>
    <tableColumn id="6" xr3:uid="{00343580-7857-49C5-A2DB-60EA419F1300}" name="UX"/>
    <tableColumn id="7" xr3:uid="{ACE2B5D1-7901-429A-BC56-5690281B1ECB}" name="INT"/>
    <tableColumn id="8" xr3:uid="{79D4260C-F39E-4CC5-89F3-EBD8D09F2387}" name="QA"/>
    <tableColumn id="9" xr3:uid="{8F6AE921-9424-4FE0-9C54-B3C9E1988DE5}" name="OP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4CD17C-2B93-4EE7-B9D1-EBE19683C696}" name="Table6" displayName="Table6" ref="K1:L9" totalsRowShown="0">
  <autoFilter ref="K1:L9" xr:uid="{1D4CD17C-2B93-4EE7-B9D1-EBE19683C696}"/>
  <tableColumns count="2">
    <tableColumn id="1" xr3:uid="{197D5D6A-4516-4238-9271-BB871195F328}" name="Role Abbreviation"/>
    <tableColumn id="2" xr3:uid="{5CC3F3F9-F831-47DE-B517-4D5E106F5A7C}" name="Team Member"/>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E20" sqref="E20"/>
    </sheetView>
  </sheetViews>
  <sheetFormatPr defaultRowHeight="15" x14ac:dyDescent="0.25"/>
  <cols>
    <col min="1" max="1" width="37.140625" customWidth="1"/>
    <col min="2" max="2" width="24.28515625" customWidth="1"/>
    <col min="3" max="3" width="21.42578125" customWidth="1"/>
    <col min="4" max="4" width="14.140625" customWidth="1"/>
    <col min="6" max="6" width="82.140625" customWidth="1"/>
  </cols>
  <sheetData>
    <row r="1" spans="1:4" x14ac:dyDescent="0.25">
      <c r="A1" t="s">
        <v>0</v>
      </c>
      <c r="B1" t="s">
        <v>1</v>
      </c>
      <c r="C1" t="s">
        <v>2</v>
      </c>
      <c r="D1" t="s">
        <v>3</v>
      </c>
    </row>
    <row r="2" spans="1:4" x14ac:dyDescent="0.25">
      <c r="A2" t="s">
        <v>4</v>
      </c>
      <c r="B2" t="s">
        <v>12</v>
      </c>
      <c r="C2" t="s">
        <v>20</v>
      </c>
      <c r="D2" s="1">
        <v>0.5</v>
      </c>
    </row>
    <row r="3" spans="1:4" x14ac:dyDescent="0.25">
      <c r="A3" t="s">
        <v>5</v>
      </c>
      <c r="B3" t="s">
        <v>13</v>
      </c>
      <c r="C3" t="s">
        <v>20</v>
      </c>
      <c r="D3" s="1">
        <v>0.75</v>
      </c>
    </row>
    <row r="4" spans="1:4" x14ac:dyDescent="0.25">
      <c r="A4" t="s">
        <v>6</v>
      </c>
      <c r="B4" t="s">
        <v>14</v>
      </c>
      <c r="C4" t="s">
        <v>21</v>
      </c>
      <c r="D4" s="1">
        <v>0.75</v>
      </c>
    </row>
    <row r="5" spans="1:4" x14ac:dyDescent="0.25">
      <c r="A5" t="s">
        <v>7</v>
      </c>
      <c r="B5" t="s">
        <v>17</v>
      </c>
      <c r="C5" t="s">
        <v>21</v>
      </c>
      <c r="D5" s="1">
        <v>0.75</v>
      </c>
    </row>
    <row r="6" spans="1:4" x14ac:dyDescent="0.25">
      <c r="A6" t="s">
        <v>8</v>
      </c>
      <c r="B6" t="s">
        <v>16</v>
      </c>
      <c r="C6" t="s">
        <v>21</v>
      </c>
      <c r="D6" s="1">
        <v>0.5</v>
      </c>
    </row>
    <row r="7" spans="1:4" x14ac:dyDescent="0.25">
      <c r="A7" t="s">
        <v>9</v>
      </c>
      <c r="B7" t="s">
        <v>19</v>
      </c>
      <c r="C7" t="s">
        <v>20</v>
      </c>
      <c r="D7" s="1">
        <v>0.5</v>
      </c>
    </row>
    <row r="8" spans="1:4" x14ac:dyDescent="0.25">
      <c r="A8" t="s">
        <v>10</v>
      </c>
      <c r="B8" t="s">
        <v>15</v>
      </c>
      <c r="C8" t="s">
        <v>21</v>
      </c>
      <c r="D8" s="1">
        <v>0.5</v>
      </c>
    </row>
    <row r="9" spans="1:4" x14ac:dyDescent="0.25">
      <c r="A9" t="s">
        <v>11</v>
      </c>
      <c r="B9" t="s">
        <v>18</v>
      </c>
      <c r="C9" t="s">
        <v>20</v>
      </c>
      <c r="D9" s="1">
        <v>0.4</v>
      </c>
    </row>
    <row r="11" spans="1:4" ht="75.75" customHeight="1" x14ac:dyDescent="0.25">
      <c r="A11" s="2" t="s">
        <v>22</v>
      </c>
      <c r="B11" s="2"/>
      <c r="C11" s="2"/>
      <c r="D11" s="2"/>
    </row>
  </sheetData>
  <mergeCells count="1">
    <mergeCell ref="A11:D1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8D5B2-280F-47BE-9D57-A35C525EFC7D}">
  <dimension ref="A1:G12"/>
  <sheetViews>
    <sheetView workbookViewId="0">
      <selection activeCell="G10" sqref="G10"/>
    </sheetView>
  </sheetViews>
  <sheetFormatPr defaultRowHeight="15" x14ac:dyDescent="0.25"/>
  <cols>
    <col min="1" max="1" width="37.140625" customWidth="1"/>
    <col min="2" max="2" width="22.85546875" customWidth="1"/>
    <col min="3" max="3" width="11.42578125" customWidth="1"/>
    <col min="4" max="4" width="16" customWidth="1"/>
    <col min="5" max="5" width="17.5703125" customWidth="1"/>
    <col min="6" max="7" width="17.140625" customWidth="1"/>
  </cols>
  <sheetData>
    <row r="1" spans="1:7" x14ac:dyDescent="0.25">
      <c r="A1" t="s">
        <v>0</v>
      </c>
      <c r="B1" t="s">
        <v>1</v>
      </c>
      <c r="C1" t="s">
        <v>27</v>
      </c>
      <c r="D1" t="s">
        <v>23</v>
      </c>
      <c r="E1" t="s">
        <v>24</v>
      </c>
      <c r="F1" t="s">
        <v>25</v>
      </c>
      <c r="G1" t="s">
        <v>26</v>
      </c>
    </row>
    <row r="2" spans="1:7" x14ac:dyDescent="0.25">
      <c r="A2" t="s">
        <v>4</v>
      </c>
      <c r="B2" t="s">
        <v>12</v>
      </c>
      <c r="C2" s="1">
        <v>0.5</v>
      </c>
      <c r="D2">
        <v>4</v>
      </c>
      <c r="E2">
        <f>160*C2*D2</f>
        <v>320</v>
      </c>
      <c r="F2" s="3">
        <v>65</v>
      </c>
      <c r="G2" s="3">
        <f>E2*F2</f>
        <v>20800</v>
      </c>
    </row>
    <row r="3" spans="1:7" x14ac:dyDescent="0.25">
      <c r="A3" t="s">
        <v>5</v>
      </c>
      <c r="B3" t="s">
        <v>13</v>
      </c>
      <c r="C3" s="1">
        <v>0.75</v>
      </c>
      <c r="D3">
        <v>3</v>
      </c>
      <c r="E3">
        <f t="shared" ref="E3:E9" si="0">160*C3*D3</f>
        <v>360</v>
      </c>
      <c r="F3" s="3">
        <v>70</v>
      </c>
      <c r="G3" s="3">
        <f t="shared" ref="G3:G9" si="1">E3*F3</f>
        <v>25200</v>
      </c>
    </row>
    <row r="4" spans="1:7" x14ac:dyDescent="0.25">
      <c r="A4" t="s">
        <v>6</v>
      </c>
      <c r="B4" t="s">
        <v>14</v>
      </c>
      <c r="C4" s="1">
        <v>0.75</v>
      </c>
      <c r="D4">
        <v>2</v>
      </c>
      <c r="E4">
        <f t="shared" si="0"/>
        <v>240</v>
      </c>
      <c r="F4" s="3">
        <v>50</v>
      </c>
      <c r="G4" s="3">
        <f t="shared" si="1"/>
        <v>12000</v>
      </c>
    </row>
    <row r="5" spans="1:7" x14ac:dyDescent="0.25">
      <c r="A5" t="s">
        <v>7</v>
      </c>
      <c r="B5" t="s">
        <v>17</v>
      </c>
      <c r="C5" s="1">
        <v>0.75</v>
      </c>
      <c r="D5">
        <v>2</v>
      </c>
      <c r="E5">
        <f t="shared" si="0"/>
        <v>240</v>
      </c>
      <c r="F5" s="3">
        <v>55</v>
      </c>
      <c r="G5" s="3">
        <f t="shared" si="1"/>
        <v>13200</v>
      </c>
    </row>
    <row r="6" spans="1:7" x14ac:dyDescent="0.25">
      <c r="A6" t="s">
        <v>8</v>
      </c>
      <c r="B6" t="s">
        <v>16</v>
      </c>
      <c r="C6" s="1">
        <v>0.5</v>
      </c>
      <c r="D6">
        <v>2</v>
      </c>
      <c r="E6">
        <f t="shared" si="0"/>
        <v>160</v>
      </c>
      <c r="F6" s="3">
        <v>45</v>
      </c>
      <c r="G6" s="3">
        <f t="shared" si="1"/>
        <v>7200</v>
      </c>
    </row>
    <row r="7" spans="1:7" x14ac:dyDescent="0.25">
      <c r="A7" t="s">
        <v>9</v>
      </c>
      <c r="B7" t="s">
        <v>19</v>
      </c>
      <c r="C7" s="1">
        <v>0.5</v>
      </c>
      <c r="D7">
        <v>2</v>
      </c>
      <c r="E7">
        <f t="shared" si="0"/>
        <v>160</v>
      </c>
      <c r="F7" s="3">
        <v>65</v>
      </c>
      <c r="G7" s="3">
        <f t="shared" si="1"/>
        <v>10400</v>
      </c>
    </row>
    <row r="8" spans="1:7" x14ac:dyDescent="0.25">
      <c r="A8" t="s">
        <v>10</v>
      </c>
      <c r="B8" t="s">
        <v>15</v>
      </c>
      <c r="C8" s="1">
        <v>0.5</v>
      </c>
      <c r="D8">
        <v>3</v>
      </c>
      <c r="E8">
        <f t="shared" si="0"/>
        <v>240</v>
      </c>
      <c r="F8" s="3">
        <v>45</v>
      </c>
      <c r="G8" s="3">
        <f t="shared" si="1"/>
        <v>10800</v>
      </c>
    </row>
    <row r="9" spans="1:7" x14ac:dyDescent="0.25">
      <c r="A9" t="s">
        <v>11</v>
      </c>
      <c r="B9" t="s">
        <v>18</v>
      </c>
      <c r="C9" s="1">
        <v>0.4</v>
      </c>
      <c r="D9">
        <v>3</v>
      </c>
      <c r="E9">
        <f t="shared" si="0"/>
        <v>192</v>
      </c>
      <c r="F9" s="3">
        <v>65</v>
      </c>
      <c r="G9" s="3">
        <f t="shared" si="1"/>
        <v>12480</v>
      </c>
    </row>
    <row r="10" spans="1:7" x14ac:dyDescent="0.25">
      <c r="A10" s="4" t="s">
        <v>34</v>
      </c>
      <c r="E10" s="5">
        <f>SUM(E2:E9)</f>
        <v>1912</v>
      </c>
      <c r="G10" s="6">
        <f>SUM(G2:G9)</f>
        <v>112080</v>
      </c>
    </row>
    <row r="12" spans="1:7" ht="63.75" customHeight="1" x14ac:dyDescent="0.25">
      <c r="A12" s="2" t="s">
        <v>28</v>
      </c>
      <c r="B12" s="2"/>
      <c r="C12" s="2"/>
      <c r="D12" s="2"/>
      <c r="E12" s="2"/>
      <c r="F12" s="2"/>
      <c r="G12" s="2"/>
    </row>
  </sheetData>
  <mergeCells count="1">
    <mergeCell ref="A12:G1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2EDD-D42C-4B3B-8480-EE395C5A64E2}">
  <dimension ref="A1:F14"/>
  <sheetViews>
    <sheetView workbookViewId="0">
      <selection activeCell="A19" sqref="A19"/>
    </sheetView>
  </sheetViews>
  <sheetFormatPr defaultRowHeight="15" x14ac:dyDescent="0.25"/>
  <cols>
    <col min="1" max="1" width="37.140625" customWidth="1"/>
    <col min="2" max="2" width="20" customWidth="1"/>
    <col min="3" max="6" width="17.140625" customWidth="1"/>
  </cols>
  <sheetData>
    <row r="1" spans="1:6" x14ac:dyDescent="0.25">
      <c r="A1" t="s">
        <v>29</v>
      </c>
      <c r="B1" t="s">
        <v>30</v>
      </c>
      <c r="C1" t="s">
        <v>31</v>
      </c>
      <c r="D1" t="s">
        <v>32</v>
      </c>
      <c r="E1" t="s">
        <v>33</v>
      </c>
      <c r="F1" t="s">
        <v>34</v>
      </c>
    </row>
    <row r="2" spans="1:6" x14ac:dyDescent="0.25">
      <c r="A2" t="s">
        <v>35</v>
      </c>
      <c r="B2" t="s">
        <v>45</v>
      </c>
      <c r="C2" t="s">
        <v>51</v>
      </c>
      <c r="D2" t="s">
        <v>56</v>
      </c>
      <c r="E2" t="s">
        <v>52</v>
      </c>
      <c r="F2" s="3">
        <v>112080</v>
      </c>
    </row>
    <row r="3" spans="1:6" x14ac:dyDescent="0.25">
      <c r="A3" t="s">
        <v>36</v>
      </c>
      <c r="B3" t="s">
        <v>46</v>
      </c>
      <c r="C3" t="s">
        <v>52</v>
      </c>
      <c r="D3" t="s">
        <v>57</v>
      </c>
      <c r="E3" t="s">
        <v>52</v>
      </c>
      <c r="F3" s="3">
        <v>1200</v>
      </c>
    </row>
    <row r="4" spans="1:6" x14ac:dyDescent="0.25">
      <c r="A4" t="s">
        <v>37</v>
      </c>
      <c r="B4" t="s">
        <v>47</v>
      </c>
      <c r="C4" t="s">
        <v>53</v>
      </c>
      <c r="D4" t="s">
        <v>58</v>
      </c>
      <c r="E4" t="s">
        <v>53</v>
      </c>
      <c r="F4" s="3">
        <v>600</v>
      </c>
    </row>
    <row r="5" spans="1:6" x14ac:dyDescent="0.25">
      <c r="A5" t="s">
        <v>38</v>
      </c>
      <c r="B5" t="s">
        <v>47</v>
      </c>
      <c r="C5" t="s">
        <v>54</v>
      </c>
      <c r="D5" t="s">
        <v>59</v>
      </c>
      <c r="E5" t="s">
        <v>54</v>
      </c>
      <c r="F5" s="3">
        <v>300</v>
      </c>
    </row>
    <row r="6" spans="1:6" x14ac:dyDescent="0.25">
      <c r="A6" t="s">
        <v>39</v>
      </c>
      <c r="B6" t="s">
        <v>48</v>
      </c>
      <c r="C6" t="s">
        <v>54</v>
      </c>
      <c r="D6" t="s">
        <v>60</v>
      </c>
      <c r="E6" t="s">
        <v>54</v>
      </c>
      <c r="F6" s="3">
        <v>150</v>
      </c>
    </row>
    <row r="7" spans="1:6" x14ac:dyDescent="0.25">
      <c r="A7" t="s">
        <v>49</v>
      </c>
      <c r="B7" t="s">
        <v>48</v>
      </c>
      <c r="C7" t="s">
        <v>53</v>
      </c>
      <c r="D7" t="s">
        <v>61</v>
      </c>
      <c r="E7" t="s">
        <v>53</v>
      </c>
      <c r="F7" s="3">
        <v>300</v>
      </c>
    </row>
    <row r="8" spans="1:6" x14ac:dyDescent="0.25">
      <c r="A8" t="s">
        <v>40</v>
      </c>
      <c r="B8" t="s">
        <v>48</v>
      </c>
      <c r="C8" t="s">
        <v>52</v>
      </c>
      <c r="D8" t="s">
        <v>62</v>
      </c>
      <c r="E8" t="s">
        <v>52</v>
      </c>
      <c r="F8" s="3">
        <v>200</v>
      </c>
    </row>
    <row r="9" spans="1:6" x14ac:dyDescent="0.25">
      <c r="A9" t="s">
        <v>41</v>
      </c>
      <c r="B9" t="s">
        <v>50</v>
      </c>
      <c r="C9" t="s">
        <v>55</v>
      </c>
      <c r="D9" s="7">
        <v>1000</v>
      </c>
      <c r="E9" s="8" t="s">
        <v>63</v>
      </c>
      <c r="F9" s="3">
        <v>1000</v>
      </c>
    </row>
    <row r="10" spans="1:6" x14ac:dyDescent="0.25">
      <c r="A10" t="s">
        <v>42</v>
      </c>
      <c r="F10" s="3">
        <v>115830</v>
      </c>
    </row>
    <row r="11" spans="1:6" x14ac:dyDescent="0.25">
      <c r="A11" t="s">
        <v>43</v>
      </c>
      <c r="B11" t="s">
        <v>64</v>
      </c>
      <c r="C11" s="9">
        <v>0.1</v>
      </c>
      <c r="D11" s="8" t="s">
        <v>63</v>
      </c>
      <c r="E11" s="8" t="s">
        <v>63</v>
      </c>
      <c r="F11" s="3">
        <v>11583</v>
      </c>
    </row>
    <row r="12" spans="1:6" x14ac:dyDescent="0.25">
      <c r="A12" s="4" t="s">
        <v>44</v>
      </c>
      <c r="F12" s="10">
        <v>127413</v>
      </c>
    </row>
    <row r="14" spans="1:6" ht="75" customHeight="1" x14ac:dyDescent="0.25">
      <c r="A14" s="2" t="s">
        <v>65</v>
      </c>
      <c r="B14" s="2"/>
      <c r="C14" s="2"/>
      <c r="D14" s="2"/>
      <c r="E14" s="2"/>
      <c r="F14" s="2"/>
    </row>
  </sheetData>
  <mergeCells count="1">
    <mergeCell ref="A14:F14"/>
  </mergeCells>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A1F9F-D6A3-490B-83E2-D0EFDA779EF5}">
  <dimension ref="A1:F9"/>
  <sheetViews>
    <sheetView workbookViewId="0">
      <selection activeCell="F20" sqref="F20"/>
    </sheetView>
  </sheetViews>
  <sheetFormatPr defaultRowHeight="15" x14ac:dyDescent="0.25"/>
  <cols>
    <col min="1" max="1" width="23" customWidth="1"/>
    <col min="2" max="2" width="23.28515625" customWidth="1"/>
    <col min="3" max="3" width="24.7109375" customWidth="1"/>
    <col min="4" max="4" width="23.28515625" customWidth="1"/>
    <col min="5" max="5" width="26" customWidth="1"/>
    <col min="6" max="6" width="21.7109375" customWidth="1"/>
  </cols>
  <sheetData>
    <row r="1" spans="1:6" x14ac:dyDescent="0.25">
      <c r="A1" t="s">
        <v>66</v>
      </c>
      <c r="B1" t="s">
        <v>67</v>
      </c>
      <c r="C1" t="s">
        <v>68</v>
      </c>
      <c r="D1" t="s">
        <v>69</v>
      </c>
      <c r="E1" t="s">
        <v>70</v>
      </c>
      <c r="F1" t="s">
        <v>71</v>
      </c>
    </row>
    <row r="2" spans="1:6" x14ac:dyDescent="0.25">
      <c r="A2" t="s">
        <v>72</v>
      </c>
      <c r="B2" s="3">
        <v>22000</v>
      </c>
      <c r="C2" s="3">
        <v>450</v>
      </c>
      <c r="D2" s="3">
        <v>0</v>
      </c>
      <c r="E2" s="3">
        <f>SUM(B2:D2)</f>
        <v>22450</v>
      </c>
      <c r="F2" s="3">
        <f>SUM($E$2:E2)</f>
        <v>22450</v>
      </c>
    </row>
    <row r="3" spans="1:6" x14ac:dyDescent="0.25">
      <c r="A3" t="s">
        <v>73</v>
      </c>
      <c r="B3" s="3">
        <v>40000</v>
      </c>
      <c r="C3" s="3">
        <v>1050</v>
      </c>
      <c r="D3" s="3">
        <v>0</v>
      </c>
      <c r="E3" s="3">
        <f t="shared" ref="E3:E6" si="0">SUM(B3:D3)</f>
        <v>41050</v>
      </c>
      <c r="F3" s="3">
        <f>SUM($E$2:E3)</f>
        <v>63500</v>
      </c>
    </row>
    <row r="4" spans="1:6" x14ac:dyDescent="0.25">
      <c r="A4" t="s">
        <v>74</v>
      </c>
      <c r="B4" s="3">
        <v>36000</v>
      </c>
      <c r="C4" s="3">
        <v>1150</v>
      </c>
      <c r="D4" s="3">
        <v>0</v>
      </c>
      <c r="E4" s="3">
        <f t="shared" si="0"/>
        <v>37150</v>
      </c>
      <c r="F4" s="3">
        <f>SUM($E$2:E4)</f>
        <v>100650</v>
      </c>
    </row>
    <row r="5" spans="1:6" x14ac:dyDescent="0.25">
      <c r="A5" t="s">
        <v>75</v>
      </c>
      <c r="B5" s="3">
        <v>14080</v>
      </c>
      <c r="C5" s="3">
        <v>1100</v>
      </c>
      <c r="D5" s="3">
        <v>0</v>
      </c>
      <c r="E5" s="3">
        <f t="shared" si="0"/>
        <v>15180</v>
      </c>
      <c r="F5" s="3">
        <f>SUM($E$2:E5)</f>
        <v>115830</v>
      </c>
    </row>
    <row r="6" spans="1:6" x14ac:dyDescent="0.25">
      <c r="A6" t="s">
        <v>76</v>
      </c>
      <c r="B6" s="3">
        <v>0</v>
      </c>
      <c r="C6" s="3">
        <v>0</v>
      </c>
      <c r="D6" s="3">
        <v>11583</v>
      </c>
      <c r="E6" s="3">
        <f t="shared" si="0"/>
        <v>11583</v>
      </c>
      <c r="F6" s="3">
        <f>SUM($E$2:E6)</f>
        <v>127413</v>
      </c>
    </row>
    <row r="7" spans="1:6" x14ac:dyDescent="0.25">
      <c r="A7" s="4" t="s">
        <v>34</v>
      </c>
      <c r="B7" s="10">
        <f>SUM(B2:B6)</f>
        <v>112080</v>
      </c>
      <c r="C7" s="10">
        <f>SUM(C2:C6)</f>
        <v>3750</v>
      </c>
      <c r="D7" s="10">
        <f>SUM(D2:D6)</f>
        <v>11583</v>
      </c>
      <c r="E7" s="10">
        <f>SUM(E2:E6)</f>
        <v>127413</v>
      </c>
      <c r="F7" s="10">
        <v>127413</v>
      </c>
    </row>
    <row r="9" spans="1:6" ht="63.75" customHeight="1" x14ac:dyDescent="0.25">
      <c r="A9" s="2" t="s">
        <v>77</v>
      </c>
      <c r="B9" s="2"/>
      <c r="C9" s="2"/>
      <c r="D9" s="2"/>
      <c r="E9" s="2"/>
      <c r="F9" s="2"/>
    </row>
  </sheetData>
  <mergeCells count="1">
    <mergeCell ref="A9:F9"/>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A334F-04B6-4CC9-A1BF-26275C45430A}">
  <dimension ref="A1:L15"/>
  <sheetViews>
    <sheetView tabSelected="1" workbookViewId="0">
      <selection activeCell="F20" sqref="F20"/>
    </sheetView>
  </sheetViews>
  <sheetFormatPr defaultRowHeight="15" x14ac:dyDescent="0.25"/>
  <cols>
    <col min="1" max="1" width="40" customWidth="1"/>
    <col min="11" max="11" width="30" customWidth="1"/>
    <col min="12" max="12" width="19.42578125" customWidth="1"/>
  </cols>
  <sheetData>
    <row r="1" spans="1:12" x14ac:dyDescent="0.25">
      <c r="A1" t="s">
        <v>78</v>
      </c>
      <c r="B1" t="s">
        <v>79</v>
      </c>
      <c r="C1" t="s">
        <v>80</v>
      </c>
      <c r="D1" t="s">
        <v>81</v>
      </c>
      <c r="E1" t="s">
        <v>82</v>
      </c>
      <c r="F1" t="s">
        <v>83</v>
      </c>
      <c r="G1" t="s">
        <v>84</v>
      </c>
      <c r="H1" t="s">
        <v>85</v>
      </c>
      <c r="I1" t="s">
        <v>86</v>
      </c>
      <c r="K1" t="s">
        <v>87</v>
      </c>
      <c r="L1" t="s">
        <v>88</v>
      </c>
    </row>
    <row r="2" spans="1:12" x14ac:dyDescent="0.25">
      <c r="A2" t="s">
        <v>89</v>
      </c>
      <c r="B2" t="s">
        <v>101</v>
      </c>
      <c r="C2" t="s">
        <v>102</v>
      </c>
      <c r="D2" t="s">
        <v>103</v>
      </c>
      <c r="E2" t="s">
        <v>103</v>
      </c>
      <c r="F2" t="s">
        <v>104</v>
      </c>
      <c r="G2" t="s">
        <v>102</v>
      </c>
      <c r="H2" t="s">
        <v>102</v>
      </c>
      <c r="I2" t="s">
        <v>103</v>
      </c>
      <c r="K2" t="s">
        <v>79</v>
      </c>
      <c r="L2" t="s">
        <v>12</v>
      </c>
    </row>
    <row r="3" spans="1:12" x14ac:dyDescent="0.25">
      <c r="A3" t="s">
        <v>90</v>
      </c>
      <c r="B3" t="s">
        <v>102</v>
      </c>
      <c r="C3" t="s">
        <v>101</v>
      </c>
      <c r="D3" t="s">
        <v>102</v>
      </c>
      <c r="E3" t="s">
        <v>102</v>
      </c>
      <c r="F3" t="s">
        <v>103</v>
      </c>
      <c r="G3" t="s">
        <v>104</v>
      </c>
      <c r="H3" t="s">
        <v>102</v>
      </c>
      <c r="I3" t="s">
        <v>104</v>
      </c>
      <c r="K3" t="s">
        <v>80</v>
      </c>
      <c r="L3" t="s">
        <v>13</v>
      </c>
    </row>
    <row r="4" spans="1:12" x14ac:dyDescent="0.25">
      <c r="A4" t="s">
        <v>91</v>
      </c>
      <c r="B4" t="s">
        <v>103</v>
      </c>
      <c r="C4" t="s">
        <v>102</v>
      </c>
      <c r="D4" t="s">
        <v>104</v>
      </c>
      <c r="E4" t="s">
        <v>104</v>
      </c>
      <c r="F4" t="s">
        <v>101</v>
      </c>
      <c r="G4" t="s">
        <v>84</v>
      </c>
      <c r="H4" t="s">
        <v>102</v>
      </c>
      <c r="I4" t="s">
        <v>103</v>
      </c>
      <c r="K4" t="s">
        <v>81</v>
      </c>
      <c r="L4" t="s">
        <v>14</v>
      </c>
    </row>
    <row r="5" spans="1:12" x14ac:dyDescent="0.25">
      <c r="A5" t="s">
        <v>92</v>
      </c>
      <c r="B5" t="s">
        <v>103</v>
      </c>
      <c r="C5" t="s">
        <v>101</v>
      </c>
      <c r="D5" t="s">
        <v>104</v>
      </c>
      <c r="E5" t="s">
        <v>104</v>
      </c>
      <c r="F5" t="s">
        <v>102</v>
      </c>
      <c r="G5" t="s">
        <v>102</v>
      </c>
      <c r="H5" t="s">
        <v>102</v>
      </c>
      <c r="I5" t="s">
        <v>102</v>
      </c>
      <c r="K5" t="s">
        <v>82</v>
      </c>
      <c r="L5" t="s">
        <v>17</v>
      </c>
    </row>
    <row r="6" spans="1:12" x14ac:dyDescent="0.25">
      <c r="A6" t="s">
        <v>93</v>
      </c>
      <c r="B6" t="s">
        <v>103</v>
      </c>
      <c r="C6" t="s">
        <v>101</v>
      </c>
      <c r="D6" t="s">
        <v>104</v>
      </c>
      <c r="E6" t="s">
        <v>104</v>
      </c>
      <c r="F6" t="s">
        <v>102</v>
      </c>
      <c r="G6" t="s">
        <v>104</v>
      </c>
      <c r="H6" t="s">
        <v>102</v>
      </c>
      <c r="I6" t="s">
        <v>104</v>
      </c>
      <c r="K6" t="s">
        <v>83</v>
      </c>
      <c r="L6" t="s">
        <v>16</v>
      </c>
    </row>
    <row r="7" spans="1:12" x14ac:dyDescent="0.25">
      <c r="A7" t="s">
        <v>94</v>
      </c>
      <c r="B7" t="s">
        <v>103</v>
      </c>
      <c r="C7" t="s">
        <v>105</v>
      </c>
      <c r="D7" t="s">
        <v>104</v>
      </c>
      <c r="E7" t="s">
        <v>104</v>
      </c>
      <c r="F7" t="s">
        <v>102</v>
      </c>
      <c r="G7" t="s">
        <v>104</v>
      </c>
      <c r="H7" t="s">
        <v>102</v>
      </c>
      <c r="I7" t="s">
        <v>102</v>
      </c>
      <c r="K7" t="s">
        <v>84</v>
      </c>
      <c r="L7" t="s">
        <v>19</v>
      </c>
    </row>
    <row r="8" spans="1:12" x14ac:dyDescent="0.25">
      <c r="A8" t="s">
        <v>95</v>
      </c>
      <c r="B8" t="s">
        <v>103</v>
      </c>
      <c r="C8" t="s">
        <v>105</v>
      </c>
      <c r="D8" t="s">
        <v>104</v>
      </c>
      <c r="E8" t="s">
        <v>104</v>
      </c>
      <c r="F8" t="s">
        <v>102</v>
      </c>
      <c r="G8" t="s">
        <v>104</v>
      </c>
      <c r="H8" t="s">
        <v>102</v>
      </c>
      <c r="I8" t="s">
        <v>102</v>
      </c>
      <c r="K8" t="s">
        <v>85</v>
      </c>
      <c r="L8" t="s">
        <v>15</v>
      </c>
    </row>
    <row r="9" spans="1:12" x14ac:dyDescent="0.25">
      <c r="A9" t="s">
        <v>96</v>
      </c>
      <c r="B9" t="s">
        <v>103</v>
      </c>
      <c r="C9" t="s">
        <v>105</v>
      </c>
      <c r="D9" t="s">
        <v>104</v>
      </c>
      <c r="E9" t="s">
        <v>102</v>
      </c>
      <c r="F9" t="s">
        <v>104</v>
      </c>
      <c r="G9" t="s">
        <v>102</v>
      </c>
      <c r="H9" t="s">
        <v>102</v>
      </c>
      <c r="I9" t="s">
        <v>104</v>
      </c>
      <c r="K9" t="s">
        <v>86</v>
      </c>
      <c r="L9" t="s">
        <v>18</v>
      </c>
    </row>
    <row r="10" spans="1:12" x14ac:dyDescent="0.25">
      <c r="A10" t="s">
        <v>97</v>
      </c>
      <c r="B10" t="s">
        <v>103</v>
      </c>
      <c r="C10" t="s">
        <v>102</v>
      </c>
      <c r="D10" t="s">
        <v>104</v>
      </c>
      <c r="E10" t="s">
        <v>104</v>
      </c>
      <c r="F10" t="s">
        <v>103</v>
      </c>
      <c r="G10" t="s">
        <v>104</v>
      </c>
      <c r="H10" t="s">
        <v>101</v>
      </c>
      <c r="I10" t="s">
        <v>102</v>
      </c>
    </row>
    <row r="11" spans="1:12" x14ac:dyDescent="0.25">
      <c r="A11" t="s">
        <v>98</v>
      </c>
      <c r="B11" t="s">
        <v>103</v>
      </c>
      <c r="C11" t="s">
        <v>102</v>
      </c>
      <c r="D11" t="s">
        <v>102</v>
      </c>
      <c r="E11" t="s">
        <v>102</v>
      </c>
      <c r="F11" t="s">
        <v>102</v>
      </c>
      <c r="G11" t="s">
        <v>102</v>
      </c>
      <c r="H11" t="s">
        <v>101</v>
      </c>
      <c r="I11" t="s">
        <v>103</v>
      </c>
    </row>
    <row r="12" spans="1:12" x14ac:dyDescent="0.25">
      <c r="A12" t="s">
        <v>99</v>
      </c>
      <c r="B12" t="s">
        <v>102</v>
      </c>
      <c r="C12" t="s">
        <v>104</v>
      </c>
      <c r="D12" t="s">
        <v>102</v>
      </c>
      <c r="E12" t="s">
        <v>102</v>
      </c>
      <c r="F12" t="s">
        <v>103</v>
      </c>
      <c r="G12" t="s">
        <v>104</v>
      </c>
      <c r="H12" t="s">
        <v>102</v>
      </c>
      <c r="I12" t="s">
        <v>101</v>
      </c>
    </row>
    <row r="13" spans="1:12" x14ac:dyDescent="0.25">
      <c r="A13" t="s">
        <v>100</v>
      </c>
      <c r="B13" t="s">
        <v>101</v>
      </c>
      <c r="C13" t="s">
        <v>102</v>
      </c>
      <c r="D13" t="s">
        <v>103</v>
      </c>
      <c r="E13" t="s">
        <v>103</v>
      </c>
      <c r="F13" t="s">
        <v>103</v>
      </c>
      <c r="G13" t="s">
        <v>102</v>
      </c>
      <c r="H13" t="s">
        <v>102</v>
      </c>
      <c r="I13" t="s">
        <v>104</v>
      </c>
    </row>
    <row r="15" spans="1:12" ht="75" customHeight="1" x14ac:dyDescent="0.25">
      <c r="A15" s="2" t="s">
        <v>106</v>
      </c>
      <c r="B15" s="2"/>
      <c r="C15" s="2"/>
      <c r="D15" s="2"/>
      <c r="E15" s="2"/>
      <c r="F15" s="2"/>
      <c r="G15" s="2"/>
      <c r="H15" s="2"/>
      <c r="I15" s="2"/>
    </row>
  </sheetData>
  <mergeCells count="1">
    <mergeCell ref="A15:I15"/>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Roles &amp; Resources</vt:lpstr>
      <vt:lpstr>Resource Plan</vt:lpstr>
      <vt:lpstr>Resource &amp; Cost Plan</vt:lpstr>
      <vt:lpstr>Monthly Budgeted Cash Flow</vt:lpstr>
      <vt:lpstr>RACI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Zachary Gonzalez</dc:creator>
  <cp:lastModifiedBy>Zachary Gonzalez</cp:lastModifiedBy>
  <dcterms:created xsi:type="dcterms:W3CDTF">2015-06-05T18:17:20Z</dcterms:created>
  <dcterms:modified xsi:type="dcterms:W3CDTF">2026-10-09T03:35:26Z</dcterms:modified>
</cp:coreProperties>
</file>
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a9c7c63b8d3e1e1c/School/4 - Info Sys Proj Mgmt/"/>
    </mc:Choice>
  </mc:AlternateContent>
  <xr:revisionPtr revIDLastSave="438" documentId="11_F25DC773A252ABDACC1048EEF9187A645BDE58F3" xr6:coauthVersionLast="47" xr6:coauthVersionMax="47" xr10:uidLastSave="{38B46E25-FC71-4CBA-B2AD-F186B89A26E2}"/>
  <bookViews>
    <workbookView xWindow="-120" yWindow="-120" windowWidth="38640" windowHeight="21120" xr2:uid="{00000000-000D-0000-FFFF-FFFF00000000}"/>
  </bookViews>
  <sheets>
    <sheet name="WBS" sheetId="1" r:id="rId1"/>
    <sheet name="Gant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2" l="1"/>
  <c r="E4" i="2"/>
  <c r="E5" i="2"/>
  <c r="E6" i="2"/>
  <c r="E7" i="2"/>
  <c r="E8" i="2"/>
  <c r="E9" i="2"/>
  <c r="E10" i="2"/>
  <c r="E11" i="2"/>
  <c r="E12" i="2"/>
  <c r="E13" i="2"/>
  <c r="E2" i="2"/>
  <c r="D13" i="2"/>
  <c r="D12" i="2"/>
  <c r="D11" i="2"/>
  <c r="D10" i="2"/>
  <c r="D3" i="2"/>
  <c r="D4" i="2"/>
  <c r="D5" i="2"/>
  <c r="D6" i="2"/>
  <c r="D7" i="2"/>
  <c r="D8" i="2"/>
  <c r="D9" i="2"/>
  <c r="D2" i="2"/>
</calcChain>
</file>

<file path=xl/sharedStrings.xml><?xml version="1.0" encoding="utf-8"?>
<sst xmlns="http://schemas.openxmlformats.org/spreadsheetml/2006/main" count="135" uniqueCount="124">
  <si>
    <t>TASK</t>
  </si>
  <si>
    <t>Parent Task</t>
  </si>
  <si>
    <t>Project Initiation</t>
  </si>
  <si>
    <t>System Design</t>
  </si>
  <si>
    <t>Development</t>
  </si>
  <si>
    <t>Testing</t>
  </si>
  <si>
    <t>Deployment</t>
  </si>
  <si>
    <t>Project Closure</t>
  </si>
  <si>
    <t>-</t>
  </si>
  <si>
    <t>CODE</t>
  </si>
  <si>
    <t>1.1.1</t>
  </si>
  <si>
    <t>1.1.2</t>
  </si>
  <si>
    <t>1.2.1</t>
  </si>
  <si>
    <t>1.2.2</t>
  </si>
  <si>
    <t>1.3.1</t>
  </si>
  <si>
    <t>1.3.2</t>
  </si>
  <si>
    <t>Requirements Gathering</t>
  </si>
  <si>
    <t>Stakeholder Requirements</t>
  </si>
  <si>
    <t>Vision and Scope</t>
  </si>
  <si>
    <t>Software Requirements Specification</t>
  </si>
  <si>
    <t>Project Scope</t>
  </si>
  <si>
    <t>Project Vision</t>
  </si>
  <si>
    <t>Nonfunctional Requirements</t>
  </si>
  <si>
    <t>2.1.1</t>
  </si>
  <si>
    <t>2.1.2</t>
  </si>
  <si>
    <t>2.2.1</t>
  </si>
  <si>
    <t>2.2.2</t>
  </si>
  <si>
    <t>2.3.1</t>
  </si>
  <si>
    <t>2.3.2</t>
  </si>
  <si>
    <t>System Architecture</t>
  </si>
  <si>
    <t>Backend &amp; API Architecture</t>
  </si>
  <si>
    <t>Web &amp; Mobile Architecture</t>
  </si>
  <si>
    <t>Functional Requirements &amp; Use Cases</t>
  </si>
  <si>
    <t>User Interface Design</t>
  </si>
  <si>
    <t>Driver Interface Design</t>
  </si>
  <si>
    <t>Operator Dashboard Design</t>
  </si>
  <si>
    <t>Database Design</t>
  </si>
  <si>
    <t>User &amp; Vehicle Data</t>
  </si>
  <si>
    <t>Parking, Reservation, &amp; Transaction Data</t>
  </si>
  <si>
    <t>3.1.1</t>
  </si>
  <si>
    <t>3.1.2</t>
  </si>
  <si>
    <t>3.2.1</t>
  </si>
  <si>
    <t>3.2.3</t>
  </si>
  <si>
    <t>3.2.2</t>
  </si>
  <si>
    <t>3.3.1</t>
  </si>
  <si>
    <t>3.3.2</t>
  </si>
  <si>
    <t>3.4.1</t>
  </si>
  <si>
    <t>3.4.2</t>
  </si>
  <si>
    <t>3.5.1</t>
  </si>
  <si>
    <t>3.5.2</t>
  </si>
  <si>
    <t>User &amp; Authentication Development</t>
  </si>
  <si>
    <t>Registration &amp; Login</t>
  </si>
  <si>
    <t>Profile &amp; Vehicle Management</t>
  </si>
  <si>
    <t>Parking &amp; Garage Development</t>
  </si>
  <si>
    <t>Real-Time Parking Availability</t>
  </si>
  <si>
    <t>Parking Search &amp; Interactive Map</t>
  </si>
  <si>
    <t>Garage Management</t>
  </si>
  <si>
    <t>Reservation &amp; Navigation Development</t>
  </si>
  <si>
    <t>Parking Reservations</t>
  </si>
  <si>
    <t>Navigation &amp; Notifications</t>
  </si>
  <si>
    <t>Payment &amp; Billing Development</t>
  </si>
  <si>
    <t>Digital Payment Processing</t>
  </si>
  <si>
    <t>Receipts &amp; Refunds</t>
  </si>
  <si>
    <t>Operator &amp; Reporting Development</t>
  </si>
  <si>
    <t>Occupancy Monitoring</t>
  </si>
  <si>
    <t>Reporting &amp; Analytics</t>
  </si>
  <si>
    <t>4.1.1</t>
  </si>
  <si>
    <t>4.2.2</t>
  </si>
  <si>
    <t>4.1.2</t>
  </si>
  <si>
    <t>4.3.1</t>
  </si>
  <si>
    <t>4.3.2</t>
  </si>
  <si>
    <t>4.4.1</t>
  </si>
  <si>
    <t>4.4.2</t>
  </si>
  <si>
    <t>Functional Testing</t>
  </si>
  <si>
    <t>Web &amp; Mobile Application Testing</t>
  </si>
  <si>
    <t>Operator Dashboard Testing</t>
  </si>
  <si>
    <t>Integration Testing</t>
  </si>
  <si>
    <t>4.2.1</t>
  </si>
  <si>
    <t>Mapping &amp; Navigation Integration Testing</t>
  </si>
  <si>
    <t>Payment Integration Testing</t>
  </si>
  <si>
    <t>Security &amp; Performance Testing</t>
  </si>
  <si>
    <t>Security &amp; Privacy Testing</t>
  </si>
  <si>
    <t>Performance &amp; Load Testing</t>
  </si>
  <si>
    <t>User Acceptance Testing</t>
  </si>
  <si>
    <t>Driver Acceptance testing</t>
  </si>
  <si>
    <t>Parking Operator Acceptance Testing</t>
  </si>
  <si>
    <t>5.1.1</t>
  </si>
  <si>
    <t>5.1.2</t>
  </si>
  <si>
    <t>5.2.1</t>
  </si>
  <si>
    <t>5.2.2</t>
  </si>
  <si>
    <t>5.3.1</t>
  </si>
  <si>
    <t>5.3.2</t>
  </si>
  <si>
    <t>Production Environment Setup</t>
  </si>
  <si>
    <t>Server &amp; Database Configuration</t>
  </si>
  <si>
    <t>Production System Configuration</t>
  </si>
  <si>
    <t>Production Deployment</t>
  </si>
  <si>
    <t>Web Application Deployment</t>
  </si>
  <si>
    <t>Mobile Application Deployment</t>
  </si>
  <si>
    <t>User Documentation</t>
  </si>
  <si>
    <t>Operator Documentation</t>
  </si>
  <si>
    <t>Deployment Documentation</t>
  </si>
  <si>
    <t>6.1.1</t>
  </si>
  <si>
    <t>6.1.2</t>
  </si>
  <si>
    <t>6.2.1</t>
  </si>
  <si>
    <t>6.2.2</t>
  </si>
  <si>
    <t>Stakeholder Handover</t>
  </si>
  <si>
    <t>Operator Training</t>
  </si>
  <si>
    <t>Final Project Review</t>
  </si>
  <si>
    <t>Final Stakeholder Approval</t>
  </si>
  <si>
    <t>Project Sign-Off</t>
  </si>
  <si>
    <t>Task</t>
  </si>
  <si>
    <t>Start</t>
  </si>
  <si>
    <t>Finish</t>
  </si>
  <si>
    <t>Duration (days)</t>
  </si>
  <si>
    <t>Project Initiation &amp; Requirements</t>
  </si>
  <si>
    <t>UI/UX Design</t>
  </si>
  <si>
    <t>System Architecture &amp; Design</t>
  </si>
  <si>
    <t>Reservattion &amp; Navigation Development</t>
  </si>
  <si>
    <t>Operator Dashboard &amp; Reporting</t>
  </si>
  <si>
    <t>System &amp; Acceptance Testing</t>
  </si>
  <si>
    <t>Start Offset</t>
  </si>
  <si>
    <t>*Project Timeline Gantt Chart (Days from September 1, 2026)</t>
  </si>
  <si>
    <t>Competitive Analysis</t>
  </si>
  <si>
    <t>System Administrator Handover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</si>
</sst>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0" xfId="0" applyAlignment="1">
      <alignment horizontal="right"/>
    </xf>
    <xf numFmtId="14" fontId="0" fillId="0" borderId="0" xfId="0" applyNumberFormat="1"/>
    <xf numFmtId="49" fontId="0" fillId="0" borderId="0" xfId="0" applyNumberFormat="1"/>
    <xf numFmtId="49" fontId="1" fillId="0" borderId="1" xfId="0" applyNumberFormat="1" applyFont="1" applyBorder="1"/>
    <xf numFmtId="49" fontId="1" fillId="0" borderId="0" xfId="0" applyNumberFormat="1" applyFont="1"/>
    <xf numFmtId="49" fontId="0" fillId="0" borderId="0" xfId="0" applyNumberFormat="1" applyAlignment="1">
      <alignment horizontal="right"/>
    </xf>
    <xf numFmtId="0" fontId="0" fillId="0" borderId="1" xfId="0" applyBorder="1"/>
    <xf numFmtId="0" fontId="0" fillId="0" borderId="4" xfId="0" applyBorder="1"/>
    <xf numFmtId="49" fontId="1" fillId="0" borderId="1" xfId="0" applyNumberFormat="1" applyFont="1" applyBorder="1" applyAlignment="1">
      <alignment horizontal="left"/>
    </xf>
    <xf numFmtId="49" fontId="0" fillId="0" borderId="0" xfId="0" applyNumberFormat="1" applyAlignment="1">
      <alignment horizontal="center"/>
    </xf>
    <xf numFmtId="49" fontId="1" fillId="0" borderId="0" xfId="0" applyNumberFormat="1" applyFont="1" applyAlignment="1">
      <alignment horizontal="left"/>
    </xf>
    <xf numFmtId="49" fontId="1" fillId="0" borderId="1" xfId="0" applyNumberFormat="1" applyFont="1" applyBorder="1" applyAlignment="1">
      <alignment horizontal="right"/>
    </xf>
    <xf numFmtId="49" fontId="1" fillId="0" borderId="0" xfId="0" applyNumberFormat="1" applyFont="1" applyAlignment="1">
      <alignment horizontal="right"/>
    </xf>
    <xf numFmtId="49" fontId="0" fillId="0" borderId="3" xfId="0" applyNumberFormat="1" applyBorder="1" applyAlignment="1">
      <alignment horizontal="center"/>
    </xf>
    <xf numFmtId="49" fontId="0" fillId="0" borderId="4" xfId="0" applyNumberFormat="1" applyBorder="1" applyAlignment="1">
      <alignment horizontal="center"/>
    </xf>
    <xf numFmtId="49" fontId="0" fillId="0" borderId="2" xfId="0" applyNumberFormat="1" applyBorder="1" applyAlignment="1">
      <alignment horizontal="center"/>
    </xf>
  </cellXfs>
  <cellStyles count="1">
    <cellStyle name="Normal" xfId="0" builtinId="0"/>
  </cellStyles>
  <dxfs count="11">
    <dxf>
      <numFmt numFmtId="30" formatCode="@"/>
      <alignment horizontal="right" vertical="bottom" textRotation="0" wrapText="0" indent="0" justifyLastLine="0" shrinkToFit="0" readingOrder="0"/>
    </dxf>
    <dxf>
      <numFmt numFmtId="30" formatCode="@"/>
    </dxf>
    <dxf>
      <numFmt numFmtId="30" formatCode="@"/>
      <alignment horizontal="right" vertical="bottom" textRotation="0" wrapText="0" indent="0" justifyLastLine="0" shrinkToFit="0" readingOrder="0"/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numFmt numFmtId="30" formatCode="@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9" formatCode="m/d/yyyy"/>
    </dxf>
    <dxf>
      <numFmt numFmtId="19" formatCode="m/d/yyyy"/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Smart</a:t>
            </a:r>
            <a:r>
              <a:rPr lang="en-US" baseline="0"/>
              <a:t> Parking Platform - Draft Project Timeline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1"/>
          <c:order val="0"/>
          <c:tx>
            <c:strRef>
              <c:f>Gantt!$E$1</c:f>
              <c:strCache>
                <c:ptCount val="1"/>
                <c:pt idx="0">
                  <c:v>Start Offset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cat>
            <c:strRef>
              <c:f>Gantt!$A$2:$A$13</c:f>
              <c:strCache>
                <c:ptCount val="12"/>
                <c:pt idx="0">
                  <c:v>Project Initiation &amp; Requirements</c:v>
                </c:pt>
                <c:pt idx="1">
                  <c:v>System Architecture &amp; Design</c:v>
                </c:pt>
                <c:pt idx="2">
                  <c:v>UI/UX Design</c:v>
                </c:pt>
                <c:pt idx="3">
                  <c:v>User &amp; Authentication Development</c:v>
                </c:pt>
                <c:pt idx="4">
                  <c:v>Parking &amp; Garage Development</c:v>
                </c:pt>
                <c:pt idx="5">
                  <c:v>Reservattion &amp; Navigation Development</c:v>
                </c:pt>
                <c:pt idx="6">
                  <c:v>Payment &amp; Billing Development</c:v>
                </c:pt>
                <c:pt idx="7">
                  <c:v>Operator Dashboard &amp; Reporting</c:v>
                </c:pt>
                <c:pt idx="8">
                  <c:v>Integration Testing</c:v>
                </c:pt>
                <c:pt idx="9">
                  <c:v>System &amp; Acceptance Testing</c:v>
                </c:pt>
                <c:pt idx="10">
                  <c:v>Deployment</c:v>
                </c:pt>
                <c:pt idx="11">
                  <c:v>Project Closure</c:v>
                </c:pt>
              </c:strCache>
            </c:strRef>
          </c:cat>
          <c:val>
            <c:numRef>
              <c:f>Gantt!$E$2:$E$13</c:f>
              <c:numCache>
                <c:formatCode>General</c:formatCode>
                <c:ptCount val="12"/>
                <c:pt idx="0">
                  <c:v>0</c:v>
                </c:pt>
                <c:pt idx="1">
                  <c:v>13</c:v>
                </c:pt>
                <c:pt idx="2">
                  <c:v>20</c:v>
                </c:pt>
                <c:pt idx="3">
                  <c:v>30</c:v>
                </c:pt>
                <c:pt idx="4">
                  <c:v>30</c:v>
                </c:pt>
                <c:pt idx="5">
                  <c:v>41</c:v>
                </c:pt>
                <c:pt idx="6">
                  <c:v>41</c:v>
                </c:pt>
                <c:pt idx="7">
                  <c:v>48</c:v>
                </c:pt>
                <c:pt idx="8">
                  <c:v>62</c:v>
                </c:pt>
                <c:pt idx="9">
                  <c:v>69</c:v>
                </c:pt>
                <c:pt idx="10">
                  <c:v>90</c:v>
                </c:pt>
                <c:pt idx="11">
                  <c:v>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83F-4EDF-9AB8-99B4656990C6}"/>
            </c:ext>
          </c:extLst>
        </c:ser>
        <c:ser>
          <c:idx val="0"/>
          <c:order val="1"/>
          <c:tx>
            <c:strRef>
              <c:f>Gantt!$D$1</c:f>
              <c:strCache>
                <c:ptCount val="1"/>
                <c:pt idx="0">
                  <c:v>Duration (days)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Gantt!$A$2:$A$13</c:f>
              <c:strCache>
                <c:ptCount val="12"/>
                <c:pt idx="0">
                  <c:v>Project Initiation &amp; Requirements</c:v>
                </c:pt>
                <c:pt idx="1">
                  <c:v>System Architecture &amp; Design</c:v>
                </c:pt>
                <c:pt idx="2">
                  <c:v>UI/UX Design</c:v>
                </c:pt>
                <c:pt idx="3">
                  <c:v>User &amp; Authentication Development</c:v>
                </c:pt>
                <c:pt idx="4">
                  <c:v>Parking &amp; Garage Development</c:v>
                </c:pt>
                <c:pt idx="5">
                  <c:v>Reservattion &amp; Navigation Development</c:v>
                </c:pt>
                <c:pt idx="6">
                  <c:v>Payment &amp; Billing Development</c:v>
                </c:pt>
                <c:pt idx="7">
                  <c:v>Operator Dashboard &amp; Reporting</c:v>
                </c:pt>
                <c:pt idx="8">
                  <c:v>Integration Testing</c:v>
                </c:pt>
                <c:pt idx="9">
                  <c:v>System &amp; Acceptance Testing</c:v>
                </c:pt>
                <c:pt idx="10">
                  <c:v>Deployment</c:v>
                </c:pt>
                <c:pt idx="11">
                  <c:v>Project Closure</c:v>
                </c:pt>
              </c:strCache>
            </c:strRef>
          </c:cat>
          <c:val>
            <c:numRef>
              <c:f>Gantt!$D$2:$D$13</c:f>
              <c:numCache>
                <c:formatCode>General</c:formatCode>
                <c:ptCount val="12"/>
                <c:pt idx="0">
                  <c:v>18</c:v>
                </c:pt>
                <c:pt idx="1">
                  <c:v>17</c:v>
                </c:pt>
                <c:pt idx="2">
                  <c:v>12</c:v>
                </c:pt>
                <c:pt idx="3">
                  <c:v>16</c:v>
                </c:pt>
                <c:pt idx="4">
                  <c:v>23</c:v>
                </c:pt>
                <c:pt idx="5">
                  <c:v>19</c:v>
                </c:pt>
                <c:pt idx="6">
                  <c:v>19</c:v>
                </c:pt>
                <c:pt idx="7">
                  <c:v>19</c:v>
                </c:pt>
                <c:pt idx="8">
                  <c:v>12</c:v>
                </c:pt>
                <c:pt idx="9">
                  <c:v>17</c:v>
                </c:pt>
                <c:pt idx="10">
                  <c:v>5</c:v>
                </c:pt>
                <c:pt idx="11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3F-4EDF-9AB8-99B465699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669077855"/>
        <c:axId val="2135225775"/>
      </c:barChart>
      <c:catAx>
        <c:axId val="1669077855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5225775"/>
        <c:crosses val="autoZero"/>
        <c:auto val="1"/>
        <c:lblAlgn val="ctr"/>
        <c:lblOffset val="100"/>
        <c:noMultiLvlLbl val="0"/>
      </c:catAx>
      <c:valAx>
        <c:axId val="2135225775"/>
        <c:scaling>
          <c:orientation val="minMax"/>
          <c:max val="110"/>
          <c:min val="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9077855"/>
        <c:crosses val="autoZero"/>
        <c:crossBetween val="between"/>
        <c:majorUnit val="14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9524</xdr:colOff>
      <xdr:row>0</xdr:row>
      <xdr:rowOff>152400</xdr:rowOff>
    </xdr:from>
    <xdr:to>
      <xdr:col>18</xdr:col>
      <xdr:colOff>361950</xdr:colOff>
      <xdr:row>22</xdr:row>
      <xdr:rowOff>4762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9AFDC9F-9DC6-3DCC-FC9E-81C70334A4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29DF369-B930-4ABE-A294-E5083263C77B}" name="Table2" displayName="Table2" ref="C1:E68" totalsRowShown="0" headerRowDxfId="5" headerRowBorderDxfId="4" tableBorderDxfId="3">
  <autoFilter ref="C1:E68" xr:uid="{D29DF369-B930-4ABE-A294-E5083263C77B}"/>
  <tableColumns count="3">
    <tableColumn id="1" xr3:uid="{61658F72-BD87-41E8-84D8-3CC0BB2DEC7F}" name="CODE" dataDxfId="2"/>
    <tableColumn id="2" xr3:uid="{92ED980F-21BC-4538-AA3D-D812CE04933A}" name="TASK" dataDxfId="1"/>
    <tableColumn id="3" xr3:uid="{1F0040A8-923F-40C6-8248-E159096EBD48}" name="Parent Task" dataDxfId="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C3CD1A4-43F2-429C-AE24-5ACB7406AA3F}" name="Table1" displayName="Table1" ref="A1:E13" totalsRowShown="0" headerRowDxfId="10" headerRowBorderDxfId="9" tableBorderDxfId="8">
  <autoFilter ref="A1:E13" xr:uid="{EC3CD1A4-43F2-429C-AE24-5ACB7406AA3F}"/>
  <tableColumns count="5">
    <tableColumn id="1" xr3:uid="{3AD66C97-7D34-4E0C-B17E-1E10B4C06286}" name="Task"/>
    <tableColumn id="2" xr3:uid="{D8C294C9-1EF7-47DE-82F1-946B51157BB9}" name="Start" dataDxfId="7"/>
    <tableColumn id="3" xr3:uid="{38A6044A-60B5-4DC5-B143-848CC64127EE}" name="Finish" dataDxfId="6"/>
    <tableColumn id="4" xr3:uid="{3428B630-9943-4706-A261-3A1E0432D346}" name="Duration (days)">
      <calculatedColumnFormula>C2-B2+1</calculatedColumnFormula>
    </tableColumn>
    <tableColumn id="5" xr3:uid="{BE4F18AD-D5EA-457A-AE66-565109221F2B}" name="Start Offset">
      <calculatedColumnFormula>B2-MIN($B$2:$B$13)</calculatedColumnFormula>
    </tableColumn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I68"/>
  <sheetViews>
    <sheetView tabSelected="1" topLeftCell="A34" workbookViewId="0">
      <selection activeCell="I64" sqref="I64"/>
    </sheetView>
  </sheetViews>
  <sheetFormatPr defaultRowHeight="15" x14ac:dyDescent="0.25"/>
  <cols>
    <col min="3" max="3" width="13.7109375" style="5" customWidth="1"/>
    <col min="4" max="4" width="39.5703125" style="5" customWidth="1"/>
    <col min="5" max="5" width="13.28515625" style="8" customWidth="1"/>
  </cols>
  <sheetData>
    <row r="1" spans="3:9" x14ac:dyDescent="0.25">
      <c r="C1" s="16" t="s">
        <v>9</v>
      </c>
      <c r="D1" s="17" t="s">
        <v>0</v>
      </c>
      <c r="E1" s="18" t="s">
        <v>1</v>
      </c>
    </row>
    <row r="2" spans="3:9" x14ac:dyDescent="0.25">
      <c r="C2" s="11">
        <v>1</v>
      </c>
      <c r="D2" s="6" t="s">
        <v>2</v>
      </c>
      <c r="E2" s="14" t="s">
        <v>8</v>
      </c>
    </row>
    <row r="3" spans="3:9" x14ac:dyDescent="0.25">
      <c r="C3" s="12">
        <v>1.1000000000000001</v>
      </c>
      <c r="D3" s="5" t="s">
        <v>16</v>
      </c>
      <c r="E3" s="8">
        <v>1</v>
      </c>
    </row>
    <row r="4" spans="3:9" x14ac:dyDescent="0.25">
      <c r="C4" s="8" t="s">
        <v>10</v>
      </c>
      <c r="D4" s="5" t="s">
        <v>17</v>
      </c>
      <c r="E4" s="8">
        <v>1.1000000000000001</v>
      </c>
    </row>
    <row r="5" spans="3:9" x14ac:dyDescent="0.25">
      <c r="C5" s="8" t="s">
        <v>11</v>
      </c>
      <c r="D5" s="5" t="s">
        <v>122</v>
      </c>
      <c r="E5" s="8">
        <v>1.1000000000000001</v>
      </c>
    </row>
    <row r="6" spans="3:9" x14ac:dyDescent="0.25">
      <c r="C6" s="12">
        <v>1.2</v>
      </c>
      <c r="D6" s="5" t="s">
        <v>18</v>
      </c>
      <c r="E6" s="8">
        <v>1</v>
      </c>
    </row>
    <row r="7" spans="3:9" x14ac:dyDescent="0.25">
      <c r="C7" s="8" t="s">
        <v>12</v>
      </c>
      <c r="D7" s="5" t="s">
        <v>21</v>
      </c>
      <c r="E7" s="8">
        <v>1.2</v>
      </c>
      <c r="I7" s="5"/>
    </row>
    <row r="8" spans="3:9" x14ac:dyDescent="0.25">
      <c r="C8" s="8" t="s">
        <v>13</v>
      </c>
      <c r="D8" s="5" t="s">
        <v>20</v>
      </c>
      <c r="E8" s="8">
        <v>1.2</v>
      </c>
    </row>
    <row r="9" spans="3:9" x14ac:dyDescent="0.25">
      <c r="C9" s="12">
        <v>1.3</v>
      </c>
      <c r="D9" s="5" t="s">
        <v>19</v>
      </c>
      <c r="E9" s="8">
        <v>1</v>
      </c>
    </row>
    <row r="10" spans="3:9" x14ac:dyDescent="0.25">
      <c r="C10" s="8" t="s">
        <v>14</v>
      </c>
      <c r="D10" s="5" t="s">
        <v>32</v>
      </c>
      <c r="E10" s="8">
        <v>1.3</v>
      </c>
    </row>
    <row r="11" spans="3:9" x14ac:dyDescent="0.25">
      <c r="C11" s="8" t="s">
        <v>15</v>
      </c>
      <c r="D11" s="5" t="s">
        <v>22</v>
      </c>
      <c r="E11" s="8">
        <v>1.3</v>
      </c>
      <c r="H11" s="3"/>
    </row>
    <row r="12" spans="3:9" x14ac:dyDescent="0.25">
      <c r="C12" s="13">
        <v>2</v>
      </c>
      <c r="D12" s="7" t="s">
        <v>3</v>
      </c>
      <c r="E12" s="15" t="s">
        <v>8</v>
      </c>
    </row>
    <row r="13" spans="3:9" x14ac:dyDescent="0.25">
      <c r="C13" s="12">
        <v>2.1</v>
      </c>
      <c r="D13" s="5" t="s">
        <v>29</v>
      </c>
      <c r="E13" s="8">
        <v>2</v>
      </c>
    </row>
    <row r="14" spans="3:9" x14ac:dyDescent="0.25">
      <c r="C14" s="8" t="s">
        <v>23</v>
      </c>
      <c r="D14" s="5" t="s">
        <v>31</v>
      </c>
      <c r="E14" s="8">
        <v>2.1</v>
      </c>
    </row>
    <row r="15" spans="3:9" x14ac:dyDescent="0.25">
      <c r="C15" s="8" t="s">
        <v>24</v>
      </c>
      <c r="D15" s="5" t="s">
        <v>30</v>
      </c>
      <c r="E15" s="8">
        <v>2.1</v>
      </c>
    </row>
    <row r="16" spans="3:9" x14ac:dyDescent="0.25">
      <c r="C16" s="12">
        <v>2.2000000000000002</v>
      </c>
      <c r="D16" s="5" t="s">
        <v>33</v>
      </c>
      <c r="E16" s="8">
        <v>2</v>
      </c>
    </row>
    <row r="17" spans="3:5" x14ac:dyDescent="0.25">
      <c r="C17" s="8" t="s">
        <v>25</v>
      </c>
      <c r="D17" s="5" t="s">
        <v>34</v>
      </c>
      <c r="E17" s="8">
        <v>2.2000000000000002</v>
      </c>
    </row>
    <row r="18" spans="3:5" x14ac:dyDescent="0.25">
      <c r="C18" s="8" t="s">
        <v>26</v>
      </c>
      <c r="D18" s="5" t="s">
        <v>35</v>
      </c>
      <c r="E18" s="8">
        <v>2.2000000000000002</v>
      </c>
    </row>
    <row r="19" spans="3:5" x14ac:dyDescent="0.25">
      <c r="C19" s="12">
        <v>2.2999999999999998</v>
      </c>
      <c r="D19" s="5" t="s">
        <v>36</v>
      </c>
      <c r="E19" s="8">
        <v>2</v>
      </c>
    </row>
    <row r="20" spans="3:5" x14ac:dyDescent="0.25">
      <c r="C20" s="8" t="s">
        <v>27</v>
      </c>
      <c r="D20" s="5" t="s">
        <v>37</v>
      </c>
      <c r="E20" s="8">
        <v>2.2999999999999998</v>
      </c>
    </row>
    <row r="21" spans="3:5" x14ac:dyDescent="0.25">
      <c r="C21" s="8" t="s">
        <v>28</v>
      </c>
      <c r="D21" s="5" t="s">
        <v>38</v>
      </c>
      <c r="E21" s="8">
        <v>2.2999999999999998</v>
      </c>
    </row>
    <row r="22" spans="3:5" x14ac:dyDescent="0.25">
      <c r="C22" s="13">
        <v>3</v>
      </c>
      <c r="D22" s="7" t="s">
        <v>4</v>
      </c>
      <c r="E22" s="15" t="s">
        <v>8</v>
      </c>
    </row>
    <row r="23" spans="3:5" x14ac:dyDescent="0.25">
      <c r="C23" s="12">
        <v>3.1</v>
      </c>
      <c r="D23" s="5" t="s">
        <v>50</v>
      </c>
      <c r="E23" s="8">
        <v>3</v>
      </c>
    </row>
    <row r="24" spans="3:5" x14ac:dyDescent="0.25">
      <c r="C24" s="8" t="s">
        <v>39</v>
      </c>
      <c r="D24" s="5" t="s">
        <v>51</v>
      </c>
      <c r="E24" s="8">
        <v>3.1</v>
      </c>
    </row>
    <row r="25" spans="3:5" x14ac:dyDescent="0.25">
      <c r="C25" s="8" t="s">
        <v>40</v>
      </c>
      <c r="D25" s="5" t="s">
        <v>52</v>
      </c>
      <c r="E25" s="8">
        <v>3.1</v>
      </c>
    </row>
    <row r="26" spans="3:5" x14ac:dyDescent="0.25">
      <c r="C26" s="12">
        <v>3.2</v>
      </c>
      <c r="D26" s="5" t="s">
        <v>53</v>
      </c>
      <c r="E26" s="8">
        <v>3</v>
      </c>
    </row>
    <row r="27" spans="3:5" x14ac:dyDescent="0.25">
      <c r="C27" s="8" t="s">
        <v>41</v>
      </c>
      <c r="D27" s="5" t="s">
        <v>54</v>
      </c>
      <c r="E27" s="8">
        <v>3.2</v>
      </c>
    </row>
    <row r="28" spans="3:5" x14ac:dyDescent="0.25">
      <c r="C28" s="8" t="s">
        <v>43</v>
      </c>
      <c r="D28" s="5" t="s">
        <v>55</v>
      </c>
      <c r="E28" s="8">
        <v>3.2</v>
      </c>
    </row>
    <row r="29" spans="3:5" x14ac:dyDescent="0.25">
      <c r="C29" s="8" t="s">
        <v>42</v>
      </c>
      <c r="D29" s="5" t="s">
        <v>56</v>
      </c>
      <c r="E29" s="8">
        <v>3.2</v>
      </c>
    </row>
    <row r="30" spans="3:5" x14ac:dyDescent="0.25">
      <c r="C30" s="12">
        <v>3.3</v>
      </c>
      <c r="D30" s="5" t="s">
        <v>57</v>
      </c>
      <c r="E30" s="8">
        <v>3</v>
      </c>
    </row>
    <row r="31" spans="3:5" x14ac:dyDescent="0.25">
      <c r="C31" s="8" t="s">
        <v>44</v>
      </c>
      <c r="D31" s="5" t="s">
        <v>58</v>
      </c>
      <c r="E31" s="8">
        <v>3.3</v>
      </c>
    </row>
    <row r="32" spans="3:5" x14ac:dyDescent="0.25">
      <c r="C32" s="8" t="s">
        <v>45</v>
      </c>
      <c r="D32" s="5" t="s">
        <v>59</v>
      </c>
      <c r="E32" s="8">
        <v>3.3</v>
      </c>
    </row>
    <row r="33" spans="3:5" x14ac:dyDescent="0.25">
      <c r="C33" s="12">
        <v>3.4</v>
      </c>
      <c r="D33" s="5" t="s">
        <v>60</v>
      </c>
      <c r="E33" s="8">
        <v>3</v>
      </c>
    </row>
    <row r="34" spans="3:5" x14ac:dyDescent="0.25">
      <c r="C34" s="8" t="s">
        <v>46</v>
      </c>
      <c r="D34" s="5" t="s">
        <v>61</v>
      </c>
      <c r="E34" s="8">
        <v>3.4</v>
      </c>
    </row>
    <row r="35" spans="3:5" x14ac:dyDescent="0.25">
      <c r="C35" s="8" t="s">
        <v>47</v>
      </c>
      <c r="D35" s="5" t="s">
        <v>62</v>
      </c>
      <c r="E35" s="8">
        <v>3.4</v>
      </c>
    </row>
    <row r="36" spans="3:5" x14ac:dyDescent="0.25">
      <c r="C36" s="12">
        <v>3.5</v>
      </c>
      <c r="D36" s="5" t="s">
        <v>63</v>
      </c>
      <c r="E36" s="8">
        <v>3</v>
      </c>
    </row>
    <row r="37" spans="3:5" x14ac:dyDescent="0.25">
      <c r="C37" s="8" t="s">
        <v>48</v>
      </c>
      <c r="D37" s="5" t="s">
        <v>64</v>
      </c>
      <c r="E37" s="8">
        <v>3.5</v>
      </c>
    </row>
    <row r="38" spans="3:5" x14ac:dyDescent="0.25">
      <c r="C38" s="8" t="s">
        <v>49</v>
      </c>
      <c r="D38" s="5" t="s">
        <v>65</v>
      </c>
      <c r="E38" s="8">
        <v>3.5</v>
      </c>
    </row>
    <row r="39" spans="3:5" x14ac:dyDescent="0.25">
      <c r="C39" s="13">
        <v>4</v>
      </c>
      <c r="D39" s="7" t="s">
        <v>5</v>
      </c>
      <c r="E39" s="15" t="s">
        <v>8</v>
      </c>
    </row>
    <row r="40" spans="3:5" x14ac:dyDescent="0.25">
      <c r="C40" s="12">
        <v>4.0999999999999996</v>
      </c>
      <c r="D40" s="5" t="s">
        <v>73</v>
      </c>
      <c r="E40" s="8">
        <v>4</v>
      </c>
    </row>
    <row r="41" spans="3:5" x14ac:dyDescent="0.25">
      <c r="C41" s="8" t="s">
        <v>66</v>
      </c>
      <c r="D41" s="5" t="s">
        <v>74</v>
      </c>
      <c r="E41" s="8">
        <v>4.0999999999999996</v>
      </c>
    </row>
    <row r="42" spans="3:5" x14ac:dyDescent="0.25">
      <c r="C42" s="8" t="s">
        <v>68</v>
      </c>
      <c r="D42" s="5" t="s">
        <v>75</v>
      </c>
      <c r="E42" s="8">
        <v>4.0999999999999996</v>
      </c>
    </row>
    <row r="43" spans="3:5" x14ac:dyDescent="0.25">
      <c r="C43" s="12">
        <v>4.2</v>
      </c>
      <c r="D43" s="5" t="s">
        <v>76</v>
      </c>
      <c r="E43" s="8">
        <v>4</v>
      </c>
    </row>
    <row r="44" spans="3:5" x14ac:dyDescent="0.25">
      <c r="C44" s="8" t="s">
        <v>77</v>
      </c>
      <c r="D44" s="5" t="s">
        <v>78</v>
      </c>
      <c r="E44" s="8">
        <v>4.2</v>
      </c>
    </row>
    <row r="45" spans="3:5" x14ac:dyDescent="0.25">
      <c r="C45" s="8" t="s">
        <v>67</v>
      </c>
      <c r="D45" s="5" t="s">
        <v>79</v>
      </c>
      <c r="E45" s="8">
        <v>4.2</v>
      </c>
    </row>
    <row r="46" spans="3:5" x14ac:dyDescent="0.25">
      <c r="C46" s="12">
        <v>4.3</v>
      </c>
      <c r="D46" s="5" t="s">
        <v>80</v>
      </c>
      <c r="E46" s="8">
        <v>4</v>
      </c>
    </row>
    <row r="47" spans="3:5" x14ac:dyDescent="0.25">
      <c r="C47" s="8" t="s">
        <v>69</v>
      </c>
      <c r="D47" s="5" t="s">
        <v>81</v>
      </c>
      <c r="E47" s="8">
        <v>4.3</v>
      </c>
    </row>
    <row r="48" spans="3:5" x14ac:dyDescent="0.25">
      <c r="C48" s="8" t="s">
        <v>70</v>
      </c>
      <c r="D48" s="5" t="s">
        <v>82</v>
      </c>
      <c r="E48" s="8">
        <v>4.3</v>
      </c>
    </row>
    <row r="49" spans="3:5" x14ac:dyDescent="0.25">
      <c r="C49" s="12">
        <v>4.4000000000000004</v>
      </c>
      <c r="D49" s="5" t="s">
        <v>83</v>
      </c>
      <c r="E49" s="8">
        <v>4</v>
      </c>
    </row>
    <row r="50" spans="3:5" x14ac:dyDescent="0.25">
      <c r="C50" s="8" t="s">
        <v>71</v>
      </c>
      <c r="D50" s="5" t="s">
        <v>84</v>
      </c>
      <c r="E50" s="8">
        <v>4.4000000000000004</v>
      </c>
    </row>
    <row r="51" spans="3:5" x14ac:dyDescent="0.25">
      <c r="C51" s="8" t="s">
        <v>72</v>
      </c>
      <c r="D51" s="5" t="s">
        <v>85</v>
      </c>
      <c r="E51" s="8">
        <v>4.4000000000000004</v>
      </c>
    </row>
    <row r="52" spans="3:5" x14ac:dyDescent="0.25">
      <c r="C52" s="13">
        <v>5</v>
      </c>
      <c r="D52" s="7" t="s">
        <v>6</v>
      </c>
      <c r="E52" s="15" t="s">
        <v>8</v>
      </c>
    </row>
    <row r="53" spans="3:5" x14ac:dyDescent="0.25">
      <c r="C53" s="12">
        <v>5.0999999999999996</v>
      </c>
      <c r="D53" s="5" t="s">
        <v>92</v>
      </c>
      <c r="E53" s="8">
        <v>5</v>
      </c>
    </row>
    <row r="54" spans="3:5" x14ac:dyDescent="0.25">
      <c r="C54" s="8" t="s">
        <v>86</v>
      </c>
      <c r="D54" s="5" t="s">
        <v>93</v>
      </c>
      <c r="E54" s="8">
        <v>5.0999999999999996</v>
      </c>
    </row>
    <row r="55" spans="3:5" x14ac:dyDescent="0.25">
      <c r="C55" s="8" t="s">
        <v>87</v>
      </c>
      <c r="D55" s="5" t="s">
        <v>94</v>
      </c>
      <c r="E55" s="8">
        <v>5.0999999999999996</v>
      </c>
    </row>
    <row r="56" spans="3:5" x14ac:dyDescent="0.25">
      <c r="C56" s="12">
        <v>5.2</v>
      </c>
      <c r="D56" s="5" t="s">
        <v>95</v>
      </c>
      <c r="E56" s="8">
        <v>5</v>
      </c>
    </row>
    <row r="57" spans="3:5" x14ac:dyDescent="0.25">
      <c r="C57" s="8" t="s">
        <v>88</v>
      </c>
      <c r="D57" s="5" t="s">
        <v>96</v>
      </c>
      <c r="E57" s="8">
        <v>5.2</v>
      </c>
    </row>
    <row r="58" spans="3:5" x14ac:dyDescent="0.25">
      <c r="C58" s="8" t="s">
        <v>89</v>
      </c>
      <c r="D58" s="5" t="s">
        <v>97</v>
      </c>
      <c r="E58" s="8">
        <v>5.2</v>
      </c>
    </row>
    <row r="59" spans="3:5" x14ac:dyDescent="0.25">
      <c r="C59" s="12">
        <v>5.3</v>
      </c>
      <c r="D59" s="5" t="s">
        <v>100</v>
      </c>
      <c r="E59" s="8">
        <v>5</v>
      </c>
    </row>
    <row r="60" spans="3:5" x14ac:dyDescent="0.25">
      <c r="C60" s="8" t="s">
        <v>90</v>
      </c>
      <c r="D60" s="5" t="s">
        <v>98</v>
      </c>
      <c r="E60" s="8">
        <v>5.3</v>
      </c>
    </row>
    <row r="61" spans="3:5" x14ac:dyDescent="0.25">
      <c r="C61" s="8" t="s">
        <v>91</v>
      </c>
      <c r="D61" s="5" t="s">
        <v>99</v>
      </c>
      <c r="E61" s="8">
        <v>5.3</v>
      </c>
    </row>
    <row r="62" spans="3:5" x14ac:dyDescent="0.25">
      <c r="C62" s="13">
        <v>6</v>
      </c>
      <c r="D62" s="7" t="s">
        <v>7</v>
      </c>
      <c r="E62" s="15" t="s">
        <v>8</v>
      </c>
    </row>
    <row r="63" spans="3:5" x14ac:dyDescent="0.25">
      <c r="C63" s="12">
        <v>6.1</v>
      </c>
      <c r="D63" s="5" t="s">
        <v>105</v>
      </c>
      <c r="E63" s="8">
        <v>6</v>
      </c>
    </row>
    <row r="64" spans="3:5" x14ac:dyDescent="0.25">
      <c r="C64" s="8" t="s">
        <v>101</v>
      </c>
      <c r="D64" s="5" t="s">
        <v>106</v>
      </c>
      <c r="E64" s="8">
        <v>6.1</v>
      </c>
    </row>
    <row r="65" spans="3:5" x14ac:dyDescent="0.25">
      <c r="C65" s="8" t="s">
        <v>102</v>
      </c>
      <c r="D65" s="5" t="s">
        <v>123</v>
      </c>
      <c r="E65" s="8">
        <v>6.1</v>
      </c>
    </row>
    <row r="66" spans="3:5" x14ac:dyDescent="0.25">
      <c r="C66" s="12">
        <v>6.2</v>
      </c>
      <c r="D66" s="5" t="s">
        <v>107</v>
      </c>
      <c r="E66" s="8">
        <v>6</v>
      </c>
    </row>
    <row r="67" spans="3:5" x14ac:dyDescent="0.25">
      <c r="C67" s="8" t="s">
        <v>103</v>
      </c>
      <c r="D67" s="5" t="s">
        <v>108</v>
      </c>
      <c r="E67" s="8">
        <v>6.2</v>
      </c>
    </row>
    <row r="68" spans="3:5" x14ac:dyDescent="0.25">
      <c r="C68" s="8" t="s">
        <v>104</v>
      </c>
      <c r="D68" s="5" t="s">
        <v>109</v>
      </c>
      <c r="E68" s="8">
        <v>6.2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8D693-35CE-4843-A233-5117F1F96179}">
  <dimension ref="A1:G23"/>
  <sheetViews>
    <sheetView workbookViewId="0">
      <selection activeCell="D17" sqref="D17"/>
    </sheetView>
  </sheetViews>
  <sheetFormatPr defaultRowHeight="15" x14ac:dyDescent="0.25"/>
  <cols>
    <col min="1" max="1" width="42.85546875" customWidth="1"/>
    <col min="2" max="2" width="14.28515625" customWidth="1"/>
    <col min="3" max="3" width="20.28515625" customWidth="1"/>
    <col min="4" max="4" width="16.7109375" customWidth="1"/>
    <col min="5" max="5" width="15.140625" customWidth="1"/>
    <col min="6" max="6" width="16.5703125" customWidth="1"/>
  </cols>
  <sheetData>
    <row r="1" spans="1:5" x14ac:dyDescent="0.25">
      <c r="A1" s="2" t="s">
        <v>110</v>
      </c>
      <c r="B1" s="10" t="s">
        <v>111</v>
      </c>
      <c r="C1" s="10" t="s">
        <v>112</v>
      </c>
      <c r="D1" s="10" t="s">
        <v>113</v>
      </c>
      <c r="E1" s="1" t="s">
        <v>120</v>
      </c>
    </row>
    <row r="2" spans="1:5" x14ac:dyDescent="0.25">
      <c r="A2" t="s">
        <v>114</v>
      </c>
      <c r="B2" s="4">
        <v>46266</v>
      </c>
      <c r="C2" s="4">
        <v>46283</v>
      </c>
      <c r="D2">
        <f>C2-B2+1</f>
        <v>18</v>
      </c>
      <c r="E2" s="9">
        <f>B2-MIN($B$2:$B$13)</f>
        <v>0</v>
      </c>
    </row>
    <row r="3" spans="1:5" x14ac:dyDescent="0.25">
      <c r="A3" t="s">
        <v>116</v>
      </c>
      <c r="B3" s="4">
        <v>46279</v>
      </c>
      <c r="C3" s="4">
        <v>46295</v>
      </c>
      <c r="D3">
        <f t="shared" ref="D3:D13" si="0">C3-B3+1</f>
        <v>17</v>
      </c>
      <c r="E3">
        <f t="shared" ref="E3:E13" si="1">B3-MIN($B$2:$B$13)</f>
        <v>13</v>
      </c>
    </row>
    <row r="4" spans="1:5" x14ac:dyDescent="0.25">
      <c r="A4" t="s">
        <v>115</v>
      </c>
      <c r="B4" s="4">
        <v>46286</v>
      </c>
      <c r="C4" s="4">
        <v>46297</v>
      </c>
      <c r="D4">
        <f t="shared" si="0"/>
        <v>12</v>
      </c>
      <c r="E4">
        <f t="shared" si="1"/>
        <v>20</v>
      </c>
    </row>
    <row r="5" spans="1:5" x14ac:dyDescent="0.25">
      <c r="A5" t="s">
        <v>50</v>
      </c>
      <c r="B5" s="4">
        <v>46296</v>
      </c>
      <c r="C5" s="4">
        <v>46311</v>
      </c>
      <c r="D5">
        <f t="shared" si="0"/>
        <v>16</v>
      </c>
      <c r="E5">
        <f t="shared" si="1"/>
        <v>30</v>
      </c>
    </row>
    <row r="6" spans="1:5" x14ac:dyDescent="0.25">
      <c r="A6" t="s">
        <v>53</v>
      </c>
      <c r="B6" s="4">
        <v>46296</v>
      </c>
      <c r="C6" s="4">
        <v>46318</v>
      </c>
      <c r="D6">
        <f t="shared" si="0"/>
        <v>23</v>
      </c>
      <c r="E6">
        <f t="shared" si="1"/>
        <v>30</v>
      </c>
    </row>
    <row r="7" spans="1:5" x14ac:dyDescent="0.25">
      <c r="A7" t="s">
        <v>117</v>
      </c>
      <c r="B7" s="4">
        <v>46307</v>
      </c>
      <c r="C7" s="4">
        <v>46325</v>
      </c>
      <c r="D7">
        <f t="shared" si="0"/>
        <v>19</v>
      </c>
      <c r="E7">
        <f t="shared" si="1"/>
        <v>41</v>
      </c>
    </row>
    <row r="8" spans="1:5" x14ac:dyDescent="0.25">
      <c r="A8" t="s">
        <v>60</v>
      </c>
      <c r="B8" s="4">
        <v>46307</v>
      </c>
      <c r="C8" s="4">
        <v>46325</v>
      </c>
      <c r="D8">
        <f t="shared" si="0"/>
        <v>19</v>
      </c>
      <c r="E8">
        <f t="shared" si="1"/>
        <v>41</v>
      </c>
    </row>
    <row r="9" spans="1:5" x14ac:dyDescent="0.25">
      <c r="A9" t="s">
        <v>118</v>
      </c>
      <c r="B9" s="4">
        <v>46314</v>
      </c>
      <c r="C9" s="4">
        <v>46332</v>
      </c>
      <c r="D9">
        <f t="shared" si="0"/>
        <v>19</v>
      </c>
      <c r="E9">
        <f t="shared" si="1"/>
        <v>48</v>
      </c>
    </row>
    <row r="10" spans="1:5" x14ac:dyDescent="0.25">
      <c r="A10" t="s">
        <v>76</v>
      </c>
      <c r="B10" s="4">
        <v>46328</v>
      </c>
      <c r="C10" s="4">
        <v>46339</v>
      </c>
      <c r="D10">
        <f t="shared" si="0"/>
        <v>12</v>
      </c>
      <c r="E10">
        <f t="shared" si="1"/>
        <v>62</v>
      </c>
    </row>
    <row r="11" spans="1:5" x14ac:dyDescent="0.25">
      <c r="A11" t="s">
        <v>119</v>
      </c>
      <c r="B11" s="4">
        <v>46335</v>
      </c>
      <c r="C11" s="4">
        <v>46351</v>
      </c>
      <c r="D11">
        <f t="shared" si="0"/>
        <v>17</v>
      </c>
      <c r="E11">
        <f t="shared" si="1"/>
        <v>69</v>
      </c>
    </row>
    <row r="12" spans="1:5" x14ac:dyDescent="0.25">
      <c r="A12" t="s">
        <v>6</v>
      </c>
      <c r="B12" s="4">
        <v>46356</v>
      </c>
      <c r="C12" s="4">
        <v>46360</v>
      </c>
      <c r="D12">
        <f t="shared" si="0"/>
        <v>5</v>
      </c>
      <c r="E12">
        <f t="shared" si="1"/>
        <v>90</v>
      </c>
    </row>
    <row r="13" spans="1:5" x14ac:dyDescent="0.25">
      <c r="A13" t="s">
        <v>7</v>
      </c>
      <c r="B13" s="4">
        <v>46363</v>
      </c>
      <c r="C13" s="4">
        <v>46367</v>
      </c>
      <c r="D13">
        <f t="shared" si="0"/>
        <v>5</v>
      </c>
      <c r="E13">
        <f t="shared" si="1"/>
        <v>97</v>
      </c>
    </row>
    <row r="23" spans="7:7" x14ac:dyDescent="0.25">
      <c r="G23" t="s">
        <v>121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WBS</vt:lpstr>
      <vt:lpstr>Gantt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Zachary Gonzalez</dc:creator>
  <cp:lastModifiedBy>Zachary Gonzalez</cp:lastModifiedBy>
  <dcterms:created xsi:type="dcterms:W3CDTF">2015-06-05T18:17:20Z</dcterms:created>
  <dcterms:modified xsi:type="dcterms:W3CDTF">2026-10-16T02:51:11Z</dcterms:modified>
</cp:coreProperties>
</file>